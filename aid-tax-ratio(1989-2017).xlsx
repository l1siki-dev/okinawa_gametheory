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oa\Downloads\"/>
    </mc:Choice>
  </mc:AlternateContent>
  <xr:revisionPtr revIDLastSave="0" documentId="13_ncr:9_{04BEDC12-54C4-4DAB-A274-271CE59CC495}" xr6:coauthVersionLast="47" xr6:coauthVersionMax="47" xr10:uidLastSave="{00000000-0000-0000-0000-000000000000}"/>
  <bookViews>
    <workbookView xWindow="-210" yWindow="-105" windowWidth="46110" windowHeight="32700" xr2:uid="{D76D56A0-E186-4ECD-BB99-9A3E06DB37C8}"/>
  </bookViews>
  <sheets>
    <sheet name="Sheet1" sheetId="2" r:id="rId1"/>
    <sheet name="aid-tax-ratio(1989-2017)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H1392" i="1" l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<sst xmlns="http://schemas.openxmlformats.org/spreadsheetml/2006/main" count="3134" uniqueCount="102">
  <si>
    <t>時間軸(年度次)</t>
  </si>
  <si>
    <t>団体名（都道府県分） コード</t>
  </si>
  <si>
    <t>団体名（都道府県分）</t>
  </si>
  <si>
    <t>1.地方税</t>
  </si>
  <si>
    <t>18.国庫支出金_(14)普通建設事業費支出金</t>
  </si>
  <si>
    <t>18.国庫支出金_(32)その他</t>
  </si>
  <si>
    <t>2017年度</t>
  </si>
  <si>
    <t>00000</t>
  </si>
  <si>
    <t>全国</t>
  </si>
  <si>
    <t>01000</t>
  </si>
  <si>
    <t>北海道</t>
  </si>
  <si>
    <t>02000</t>
  </si>
  <si>
    <t>青森県</t>
  </si>
  <si>
    <t>03000</t>
  </si>
  <si>
    <t>岩手県</t>
  </si>
  <si>
    <t>04000</t>
  </si>
  <si>
    <t>宮城県</t>
  </si>
  <si>
    <t>05000</t>
  </si>
  <si>
    <t>秋田県</t>
  </si>
  <si>
    <t>06000</t>
  </si>
  <si>
    <t>山形県</t>
  </si>
  <si>
    <t>07000</t>
  </si>
  <si>
    <t>福島県</t>
  </si>
  <si>
    <t>08000</t>
  </si>
  <si>
    <t>茨城県</t>
  </si>
  <si>
    <t>09000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</si>
  <si>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</si>
  <si>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</si>
  <si>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</si>
  <si>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</si>
  <si>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</si>
  <si>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</si>
  <si>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</si>
  <si>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</si>
  <si>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</si>
  <si>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</si>
  <si>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</si>
  <si>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</si>
  <si>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</si>
  <si>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</si>
  <si>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</si>
  <si>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</si>
  <si>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</si>
  <si>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</si>
  <si>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</si>
  <si>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</si>
  <si>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</si>
  <si>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</si>
  <si>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</si>
  <si>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</si>
  <si>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</si>
  <si>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</si>
  <si>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</si>
  <si>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</si>
  <si>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</si>
  <si>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</si>
  <si>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</si>
  <si>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</si>
  <si>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</si>
  <si>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</si>
  <si>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</si>
  <si>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</si>
  <si>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</si>
  <si>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</si>
  <si>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</si>
  <si>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2016年度</t>
  </si>
  <si>
    <t>2015年度</t>
  </si>
  <si>
    <t>2014年度</t>
  </si>
  <si>
    <t>2013年度</t>
  </si>
  <si>
    <t>2012年度</t>
  </si>
  <si>
    <t>2011年度</t>
  </si>
  <si>
    <t>2010年度</t>
  </si>
  <si>
    <t>2009年度</t>
  </si>
  <si>
    <t>2008年度</t>
  </si>
  <si>
    <t>2007年度</t>
  </si>
  <si>
    <t>2006年度</t>
  </si>
  <si>
    <t>2005年度</t>
  </si>
  <si>
    <t>2004年度</t>
  </si>
  <si>
    <t>2003年度</t>
  </si>
  <si>
    <t>2002年度</t>
  </si>
  <si>
    <t>2001年度</t>
  </si>
  <si>
    <t>2000年度</t>
  </si>
  <si>
    <t>1999年度</t>
  </si>
  <si>
    <t>1998年度</t>
  </si>
  <si>
    <t>1997年度</t>
  </si>
  <si>
    <t>1996年度</t>
  </si>
  <si>
    <t>1995年度</t>
  </si>
  <si>
    <t>1994年度</t>
  </si>
  <si>
    <t>1993年度</t>
  </si>
  <si>
    <t>1992年度</t>
  </si>
  <si>
    <t>1991年度</t>
  </si>
  <si>
    <t>1990年度</t>
  </si>
  <si>
    <t>1989年度</t>
  </si>
  <si>
    <t>Development aid</t>
  </si>
  <si>
    <t>aid/tax ratio</t>
  </si>
  <si>
    <t>Row Labels</t>
  </si>
  <si>
    <t>Grand Total</t>
  </si>
  <si>
    <t>Sum of 1.地方税</t>
  </si>
  <si>
    <t>Sum of 18.国庫支出金_(14)普通建設事業費支出金</t>
  </si>
  <si>
    <t>Sum of 18.国庫支出金_(32)その他</t>
  </si>
  <si>
    <t>Sum of Development aid</t>
  </si>
  <si>
    <t>Average of aid/tax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</si>
</sst>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ro IHA" refreshedDate="46005.433801620369" createdVersion="8" refreshedVersion="8" minRefreshableVersion="3" recordCount="1391" xr:uid="{2A919BCD-3268-40E2-8274-2CA0DC8302A5}">
  <cacheSource type="worksheet">
    <worksheetSource ref="A1:H1392" sheet="aid-tax-ratio(1989-2017)"/>
  </cacheSource>
  <cacheFields count="8">
    <cacheField name="時間軸(年度次)" numFmtId="0">
      <sharedItems/>
    </cacheField>
    <cacheField name="団体名（都道府県分） コード" numFmtId="0">
      <sharedItems containsMixedTypes="1" containsNumber="1" containsInteger="1" minValue="10000" maxValue="47000"/>
    </cacheField>
    <cacheField name="団体名（都道府県分）" numFmtId="0">
      <sharedItems count="48">
        <s v="全国"/>
        <s v="北海道"/>
        <s v="青森県"/>
        <s v="岩手県"/>
        <s v="宮城県"/>
        <s v="秋田県"/>
        <s v="山形県"/>
        <s v="福島県"/>
        <s v="茨城県"/>
        <s v="栃木県"/>
        <s v="群馬県"/>
        <s v="埼玉県"/>
        <s v="千葉県"/>
        <s v="東京都"/>
        <s v="神奈川県"/>
        <s v="新潟県"/>
        <s v="富山県"/>
        <s v="石川県"/>
        <s v="福井県"/>
        <s v="山梨県"/>
        <s v="長野県"/>
        <s v="岐阜県"/>
        <s v="静岡県"/>
        <s v="愛知県"/>
        <s v="三重県"/>
        <s v="滋賀県"/>
        <s v="京都府"/>
        <s v="大阪府"/>
        <s v="兵庫県"/>
        <s v="奈良県"/>
        <s v="和歌山県"/>
        <s v="鳥取県"/>
        <s v="島根県"/>
        <s v="岡山県"/>
        <s v="広島県"/>
        <s v="山口県"/>
        <s v="徳島県"/>
        <s v="香川県"/>
        <s v="愛媛県"/>
        <s v="高知県"/>
        <s v="福岡県"/>
        <s v="佐賀県"/>
        <s v="長崎県"/>
        <s v="熊本県"/>
        <s v="大分県"/>
        <s v="宮崎県"/>
        <s v="鹿児島県"/>
        <s v="沖縄県"/>
      </sharedItems>
    </cacheField>
    <cacheField name="1.地方税" numFmtId="3">
      <sharedItems containsSemiMixedTypes="0" containsString="0" containsNumber="1" containsInteger="1" minValue="45792323" maxValue="20793974302"/>
    </cacheField>
    <cacheField name="18.国庫支出金_(14)普通建設事業費支出金" numFmtId="3">
      <sharedItems containsSemiMixedTypes="0" containsString="0" containsNumber="1" containsInteger="1" minValue="2497508" maxValue="4804039415"/>
    </cacheField>
    <cacheField name="18.国庫支出金_(32)その他" numFmtId="3">
      <sharedItems containsSemiMixedTypes="0" containsString="0" containsNumber="1" containsInteger="1" minValue="1153481" maxValue="3261064060"/>
    </cacheField>
    <cacheField name="Development aid" numFmtId="3">
      <sharedItems containsSemiMixedTypes="0" containsString="0" containsNumber="1" containsInteger="1" minValue="14374943" maxValue="6192360153"/>
    </cacheField>
    <cacheField name="aid/tax ratio" numFmtId="0">
      <sharedItems containsSemiMixedTypes="0" containsString="0" containsNumber="1" minValue="2.3431391586235365E-2" maxValue="5.3500774816569745" count="1391">
        <n v="0.11524294024375877"/>
        <n v="0.25561704341634511"/>
        <n v="0.22440279895285017"/>
        <n v="0.35572259048225291"/>
        <n v="0.20291229879358538"/>
        <n v="0.34300968229964185"/>
        <n v="0.24369892924577199"/>
        <n v="0.94897721849907102"/>
        <n v="6.9442217869695275E-2"/>
        <n v="8.9127186630314145E-2"/>
        <n v="8.5870466269980142E-2"/>
        <n v="4.4549851424256895E-2"/>
        <n v="8.3472710417513016E-2"/>
        <n v="3.1014498692007089E-2"/>
        <n v="3.1614944328048171E-2"/>
        <n v="0.21412255205609521"/>
        <n v="0.17564418479289756"/>
        <n v="0.15202040107258719"/>
        <n v="0.18612959113574282"/>
        <n v="0.16633520131142501"/>
        <n v="0.10759153812432955"/>
        <n v="0.12810837119700305"/>
        <n v="6.4916380753264474E-2"/>
        <n v="4.4458944352009845E-2"/>
        <n v="0.11248619570012555"/>
        <n v="8.9213125200113513E-2"/>
        <n v="9.5540337996332825E-2"/>
        <n v="4.174314492109496E-2"/>
        <n v="7.6828037198268001E-2"/>
        <n v="0.15736429220599119"/>
        <n v="0.23820051886233978"/>
        <n v="0.31694690185856034"/>
        <n v="0.31810689644023843"/>
        <n v="0.10029802178076541"/>
        <n v="9.722391945550804E-2"/>
        <n v="0.1736309640198927"/>
        <n v="0.19403236627408274"/>
        <n v="0.13545575199804097"/>
        <n v="0.14390285323904192"/>
        <n v="0.27236663354257995"/>
        <n v="0.10373493906799366"/>
        <n v="0.23424161858309039"/>
        <n v="0.37878862157451676"/>
        <n v="0.41105123243721609"/>
        <n v="0.2463942137516921"/>
        <n v="0.37515812220365258"/>
        <n v="0.38731926837924147"/>
        <n v="1.0759346771515983"/>
        <n v="0.12543150153629007"/>
        <n v="0.23186423560176944"/>
        <n v="0.21974798385466829"/>
        <n v="0.31112031150584529"/>
        <n v="0.20608284651731013"/>
        <n v="0.30066628048619742"/>
        <n v="0.23170385299401502"/>
        <n v="1.9897747099815759"/>
        <n v="7.3306607251521494E-2"/>
        <n v="9.0329127898884642E-2"/>
        <n v="8.2104381476725996E-2"/>
        <n v="4.0650872594986301E-2"/>
        <n v="7.8156012045451806E-2"/>
        <n v="2.3683679712500537E-2"/>
        <n v="2.5534898182633509E-2"/>
        <n v="0.19907736024909978"/>
        <n v="0.15967630114778925"/>
        <n v="0.11691048213404856"/>
        <n v="0.18283057391165861"/>
        <n v="0.15013848795248158"/>
        <n v="0.10942258609338147"/>
        <n v="0.13064871501567091"/>
        <n v="6.9967586514976463E-2"/>
        <n v="3.5537130148002583E-2"/>
        <n v="0.10195487889025709"/>
        <n v="9.1231321956187716E-2"/>
        <n v="0.10385666139252282"/>
        <n v="5.5459251161431147E-2"/>
        <n v="7.1160986784059257E-2"/>
        <n v="0.15743878767192565"/>
        <n v="0.20799891471234583"/>
        <n v="0.28185447090253701"/>
        <n v="0.31809781866573023"/>
        <n v="9.3700627187891322E-2"/>
        <n v="8.8862159045772049E-2"/>
        <n v="0.17189186791766731"/>
        <n v="0.18669002726230885"/>
        <n v="0.13329437832305538"/>
        <n v="0.12948648570038507"/>
        <n v="0.24292776447487135"/>
        <n v="9.466582297784E-2"/>
        <n v="0.21197297653465258"/>
        <n v="0.34097215458035673"/>
        <n v="0.68988463918129406"/>
        <n v="0.26552487286054899"/>
        <n v="0.29573441157727021"/>
        <n v="0.33067308464846351"/>
        <n v="1.2928284977065578"/>
        <n v="0.21702918834331225"/>
        <n v="0.19642358753861316"/>
        <n v="0.26703522232765375"/>
        <n v="0.23933769119630446"/>
        <n v="0.26689769334723035"/>
        <n v="0.19737076177699076"/>
        <n v="1.5494322383943357"/>
        <n v="6.410010000738664E-2"/>
        <n v="9.0618805613953884E-2"/>
        <n v="0.10427202804883741"/>
        <n v="3.6207546626861202E-2"/>
        <n v="8.0825492076643704E-2"/>
        <n v="2.7677067702864475E-2"/>
        <n v="2.9431274227696785E-2"/>
        <n v="0.18885676120685765"/>
        <n v="0.1384717172674961"/>
        <n v="0.11982342866880039"/>
        <n v="0.19518250603775628"/>
        <n v="0.16693232362145122"/>
        <n v="0.10961907371285991"/>
        <n v="0.12894403479950381"/>
        <n v="6.2843173688461984E-2"/>
        <n v="3.6000591044821929E-2"/>
        <n v="8.4120133259037902E-2"/>
        <n v="8.5783341357370535E-2"/>
        <n v="7.5121770385972383E-2"/>
        <n v="4.6186465195017144E-2"/>
        <n v="7.7921902370938975E-2"/>
        <n v="0.1661015173386034"/>
        <n v="0.19397601156610794"/>
        <n v="0.26387059428737764"/>
        <n v="0.32573890799502375"/>
        <n v="9.7310381988100395E-2"/>
        <n v="9.6343316346119034E-2"/>
        <n v="0.17884134544914571"/>
        <n v="0.19482834194384985"/>
        <n v="0.12365645394268673"/>
        <n v="0.1369250588058889"/>
        <n v="0.29153917932184681"/>
        <n v="0.10219068160582495"/>
        <n v="0.19391076479592551"/>
        <n v="0.32136945802896494"/>
        <n v="0.26803470385678418"/>
        <n v="0.23148701744775749"/>
        <n v="0.28439275503844325"/>
        <n v="0.31653685438311313"/>
        <n v="1.3631834095637885"/>
        <n v="0.13386945576153317"/>
        <n v="0.2280192094934235"/>
        <n v="0.26325276847762868"/>
        <n v="0.28932307730089002"/>
        <n v="0.2809972101995642"/>
        <n v="0.26651515557148758"/>
        <n v="0.196040493151249"/>
        <n v="1.9488722830202483"/>
        <n v="7.7876692679076404E-2"/>
        <n v="0.1081946792500867"/>
        <n v="9.2221348426137092E-2"/>
        <n v="5.3904270329845932E-2"/>
        <n v="9.1010318978056157E-2"/>
        <n v="3.0059841454060019E-2"/>
        <n v="4.6501341239483837E-2"/>
        <n v="0.24239111866580199"/>
        <n v="0.1497988230782249"/>
        <n v="0.15797258729322367"/>
        <n v="0.20361987990603342"/>
        <n v="0.21406088525442354"/>
        <n v="0.13901365887642253"/>
        <n v="0.12437542208175902"/>
        <n v="7.4833505577267423E-2"/>
        <n v="3.4021541341387226E-2"/>
        <n v="9.8429743840186462E-2"/>
        <n v="0.10395211663918712"/>
        <n v="0.12412425387304481"/>
        <n v="5.1217504473509687E-2"/>
        <n v="7.5419570494263233E-2"/>
        <n v="0.17212174922380219"/>
        <n v="0.2652106065453062"/>
        <n v="0.31585170243480992"/>
        <n v="0.42545275456381676"/>
        <n v="0.11079525053979129"/>
        <n v="0.10731035113236224"/>
        <n v="0.18713231047331103"/>
        <n v="0.23516308526711643"/>
        <n v="0.15055546193369215"/>
        <n v="0.13789830887382939"/>
        <n v="0.28603144866310731"/>
        <n v="0.10902042449228334"/>
        <n v="0.23273564913676345"/>
        <n v="0.38439702087604311"/>
        <n v="0.35945026991821305"/>
        <n v="0.28947704460313256"/>
        <n v="0.37376989707746183"/>
        <n v="0.38500408743370895"/>
        <n v="1.7274237563735109"/>
        <n v="0.15718907011313005"/>
        <n v="0.27158546136805051"/>
        <n v="0.34002990508631653"/>
        <n v="0.43645202187508586"/>
        <n v="0.50071257958842019"/>
        <n v="0.37810347375145847"/>
        <n v="0.26168275406678809"/>
        <n v="1.9530004000789669"/>
        <n v="9.3035319888859019E-2"/>
        <n v="0.12034659829821262"/>
        <n v="0.11880641077229338"/>
        <n v="4.3703105245733016E-2"/>
        <n v="0.10347245978677386"/>
        <n v="2.8801403427734112E-2"/>
        <n v="2.9233721152231742E-2"/>
        <n v="0.28709459485398048"/>
        <n v="0.21564656584760999"/>
        <n v="0.21084634872865529"/>
        <n v="0.25193073854753373"/>
        <n v="0.29207163542051034"/>
        <n v="0.18019670348544253"/>
        <n v="0.20199912868970837"/>
        <n v="9.0683829723962703E-2"/>
        <n v="5.0109221153999219E-2"/>
        <n v="0.13617038299589315"/>
        <n v="0.11703502061186748"/>
        <n v="0.10752511566930441"/>
        <n v="5.5185024659624625E-2"/>
        <n v="0.1140474153457551"/>
        <n v="0.1684846704593021"/>
        <n v="0.30893619201173683"/>
        <n v="0.36833099390295393"/>
        <n v="0.47863874690572067"/>
        <n v="0.15233315413558879"/>
        <n v="0.15363836011630641"/>
        <n v="0.21970091390516419"/>
        <n v="0.30435887973131093"/>
        <n v="0.18119999576992921"/>
        <n v="0.20534376415829109"/>
        <n v="0.43431693263281562"/>
        <n v="0.122699875149202"/>
        <n v="0.41358245872537969"/>
        <n v="0.46178676463527174"/>
        <n v="0.4745397409053595"/>
        <n v="0.35056894275656897"/>
        <n v="0.50719235557580211"/>
        <n v="0.51203942874044406"/>
        <n v="1.8160154724204189"/>
        <n v="0.14333518917433483"/>
        <n v="0.26516649507333084"/>
        <n v="0.2738786999447973"/>
        <n v="0.52288585472686355"/>
        <n v="0.79196878917650637"/>
        <n v="0.28957888844293289"/>
        <n v="0.22269647637505088"/>
        <n v="1.7277510785740473"/>
        <n v="0.10959558007360388"/>
        <n v="0.13142745956946161"/>
        <n v="9.4109547582012995E-2"/>
        <n v="4.726849920319158E-2"/>
        <n v="0.11069898512926891"/>
        <n v="2.5831094256329862E-2"/>
        <n v="3.6200275794481228E-2"/>
        <n v="0.22555712375457443"/>
        <n v="0.18735611148043607"/>
        <n v="0.17149780145783605"/>
        <n v="0.17721105519477104"/>
        <n v="0.15873560970565917"/>
        <n v="0.17818392540661201"/>
        <n v="0.13562146365143202"/>
        <n v="7.9471716956479574E-2"/>
        <n v="4.4015236288548476E-2"/>
        <n v="0.1183646874809062"/>
        <n v="0.10782459552766942"/>
        <n v="0.12869472089237335"/>
        <n v="6.2702601584310277E-2"/>
        <n v="9.5219867133530853E-2"/>
        <n v="0.14471782679505368"/>
        <n v="0.25461925041685329"/>
        <n v="0.37808673744796606"/>
        <n v="0.51181543103970828"/>
        <n v="0.12103364140712224"/>
        <n v="0.1342168227706681"/>
        <n v="0.17157746451788589"/>
        <n v="0.27255421734611879"/>
        <n v="0.13318952760549443"/>
        <n v="0.14992811425904726"/>
        <n v="0.3583669582471285"/>
        <n v="0.10000734350943037"/>
        <n v="0.26547543216447234"/>
        <n v="0.33479793086046744"/>
        <n v="0.41011802021500676"/>
        <n v="0.26738943241948371"/>
        <n v="0.35848855157893134"/>
        <n v="0.39190885960175448"/>
        <n v="1.1554445918899861"/>
        <n v="0.24503345274002691"/>
        <n v="0.28364501923019031"/>
        <n v="0.43899262055773808"/>
        <n v="2.5259165386060176"/>
        <n v="2.2455199142787543"/>
        <n v="0.50312903663806996"/>
        <n v="0.40549922420417006"/>
        <n v="5.3500774816569745"/>
        <n v="0.25511815385924941"/>
        <n v="0.17247763974638045"/>
        <n v="0.13064580022342964"/>
        <n v="5.6621139561112165E-2"/>
        <n v="0.13453112082064267"/>
        <n v="3.2083065656693506E-2"/>
        <n v="4.6895760765434134E-2"/>
        <n v="0.21470254469745259"/>
        <n v="0.22691780044365231"/>
        <n v="0.23304807274481362"/>
        <n v="0.26800593958424779"/>
        <n v="0.37991489523444821"/>
        <n v="0.22994627512387747"/>
        <n v="0.17985628963064026"/>
        <n v="0.10321367449251254"/>
        <n v="5.5321660275578409E-2"/>
        <n v="0.16062393231661826"/>
        <n v="0.13865231129199834"/>
        <n v="0.12534821901235474"/>
        <n v="5.9448521774570426E-2"/>
        <n v="0.12368328443613606"/>
        <n v="0.20726853128660733"/>
        <n v="0.40709149629274255"/>
        <n v="0.67206060873899554"/>
        <n v="0.65791409426691549"/>
        <n v="0.1371994737144166"/>
        <n v="0.16449007648443539"/>
        <n v="0.21485481001107096"/>
        <n v="0.37021679052746448"/>
        <n v="0.16900326603361943"/>
        <n v="0.23068903182961684"/>
        <n v="0.4782578587252112"/>
        <n v="0.10514223405979752"/>
        <n v="0.33665835955172652"/>
        <n v="0.48527815794803641"/>
        <n v="0.39085150131967517"/>
        <n v="0.32136408196988264"/>
        <n v="0.501180455135394"/>
        <n v="0.42357016803595543"/>
        <n v="0.69468902756247042"/>
        <n v="0.17905653029964216"/>
        <n v="0.30296577744197584"/>
        <n v="0.42554413008562836"/>
        <n v="0.50454754477064567"/>
        <n v="0.20260322050753649"/>
        <n v="0.52250261170011325"/>
        <n v="0.3401430685266823"/>
        <n v="0.28915996396275279"/>
        <n v="0.14801315725369274"/>
        <n v="0.19018644673720977"/>
        <n v="0.1973509844445048"/>
        <n v="8.474712698517041E-2"/>
        <n v="0.11951960037685025"/>
        <n v="4.1486390520173805E-2"/>
        <n v="4.6552891460251732E-2"/>
        <n v="0.31172176549702635"/>
        <n v="0.30541967135500903"/>
        <n v="0.31636520209251379"/>
        <n v="0.32772615351890322"/>
        <n v="0.47008886784080595"/>
        <n v="0.26313139549717063"/>
        <n v="0.24677995975336187"/>
        <n v="0.15803038969283542"/>
        <n v="7.6104778680386106E-2"/>
        <n v="0.20321167497849335"/>
        <n v="0.20335225949469507"/>
        <n v="0.17158905613138969"/>
        <n v="8.9484533436270552E-2"/>
        <n v="0.18233745846616617"/>
        <n v="0.24680682206949081"/>
        <n v="0.44172994816762506"/>
        <n v="0.78349753086827523"/>
        <n v="0.95250351509084819"/>
        <n v="0.21766004027267125"/>
        <n v="0.21656441094442005"/>
        <n v="0.34422167747859234"/>
        <n v="0.50588427061514629"/>
        <n v="0.24978561937652305"/>
        <n v="0.29497413413983625"/>
        <n v="0.68715701840865417"/>
        <n v="0.16415154609062343"/>
        <n v="0.49224413139174122"/>
        <n v="0.64497534633390685"/>
        <n v="0.80548431859819758"/>
        <n v="0.48166189566135365"/>
        <n v="0.83057233847012513"/>
        <n v="0.63206181668249439"/>
        <n v="1.1798128323768904"/>
        <n v="0.34814463231714504"/>
        <n v="0.66953792932260925"/>
        <n v="0.7896519058545971"/>
        <n v="0.87115634331757652"/>
        <n v="0.37971701750645431"/>
        <n v="0.90552505687261753"/>
        <n v="0.75725741840649263"/>
        <n v="0.49487500999721001"/>
        <n v="0.32740688576952193"/>
        <n v="0.46777234561252512"/>
        <n v="0.41663733570433015"/>
        <n v="0.19030395874493564"/>
        <n v="0.23189521111350028"/>
        <n v="8.4522437318503604E-2"/>
        <n v="0.14693139220083476"/>
        <n v="0.64085094162598977"/>
        <n v="0.62157631129119995"/>
        <n v="0.60503914994517605"/>
        <n v="0.75496798369923424"/>
        <n v="0.84123045773155447"/>
        <n v="0.53582683549127974"/>
        <n v="0.45186869973316124"/>
        <n v="0.30185756427201244"/>
        <n v="0.19236717165754885"/>
        <n v="0.4385695269901751"/>
        <n v="0.43996208417987581"/>
        <n v="0.32978299740459388"/>
        <n v="0.23659702255977869"/>
        <n v="0.31912021794590095"/>
        <n v="0.55286673780644824"/>
        <n v="0.87880549148390952"/>
        <n v="1.2440608417706982"/>
        <n v="1.502260412308025"/>
        <n v="0.46598875066687045"/>
        <n v="0.40004717210322549"/>
        <n v="0.69840058210153122"/>
        <n v="0.95340951778638605"/>
        <n v="0.46965314905038086"/>
        <n v="0.6144834747934339"/>
        <n v="1.3962533804028521"/>
        <n v="0.3652258282386085"/>
        <n v="0.89838471048298973"/>
        <n v="1.0747598454833842"/>
        <n v="0.89538560192157035"/>
        <n v="0.96994348785936579"/>
        <n v="0.90112007484602841"/>
        <n v="1.1808647620840917"/>
        <n v="1.4622286144475225"/>
        <n v="0.15061125029765893"/>
        <n v="0.34373037360624603"/>
        <n v="0.40670918109967596"/>
        <n v="0.40775131917482871"/>
        <n v="0.18333060059293191"/>
        <n v="0.54761260325858829"/>
        <n v="0.2717984212151201"/>
        <n v="0.22418640825468972"/>
        <n v="0.12594290059585581"/>
        <n v="0.1557422883638436"/>
        <n v="0.14927289234939714"/>
        <n v="7.183592877713392E-2"/>
        <n v="0.10778219356858648"/>
        <n v="3.3159482362821756E-2"/>
        <n v="5.9223759358968578E-2"/>
        <n v="0.34475533379303785"/>
        <n v="0.25117324182162204"/>
        <n v="0.24444653542000214"/>
        <n v="0.38366248943856501"/>
        <n v="0.38861326188819845"/>
        <n v="0.2320685978273202"/>
        <n v="0.1879344052471896"/>
        <n v="0.11173710252403971"/>
        <n v="7.3605089196731907E-2"/>
        <n v="0.1618680087290385"/>
        <n v="0.17767888671131934"/>
        <n v="0.11497363614864085"/>
        <n v="7.8656248499180834E-2"/>
        <n v="0.14062329181824404"/>
        <n v="0.23456974841915773"/>
        <n v="0.3711933712992303"/>
        <n v="0.57091417356912322"/>
        <n v="0.72006791958974536"/>
        <n v="0.16493743252924947"/>
        <n v="0.18208230914002718"/>
        <n v="0.31771308366054241"/>
        <n v="0.40114731880986293"/>
        <n v="0.17948489369029685"/>
        <n v="0.26324856599039337"/>
        <n v="0.56675860122768651"/>
        <n v="0.14148182426905639"/>
        <n v="0.39512925920972619"/>
        <n v="0.64755386846308671"/>
        <n v="0.36325113708154261"/>
        <n v="0.47504875938063162"/>
        <n v="0.57018364510418984"/>
        <n v="0.64446127704966072"/>
        <n v="1.0966319423150319"/>
        <n v="0.11411591750268578"/>
        <n v="0.29077839556041757"/>
        <n v="0.3176783903324773"/>
        <n v="0.27795838692674874"/>
        <n v="0.1192294944497732"/>
        <n v="0.35459977465561265"/>
        <n v="0.19451576921795663"/>
        <n v="0.15360406918136507"/>
        <n v="9.0864130857347306E-2"/>
        <n v="0.11572357250316338"/>
        <n v="8.5054076229576447E-2"/>
        <n v="4.8135225349394219E-2"/>
        <n v="7.8285590041021286E-2"/>
        <n v="2.3431391586235365E-2"/>
        <n v="3.4392451983275271E-2"/>
        <n v="0.33010364161367445"/>
        <n v="0.19385459673776306"/>
        <n v="0.17659254906120267"/>
        <n v="0.35144156222233941"/>
        <n v="0.29972642572111269"/>
        <n v="0.1701774532996031"/>
        <n v="0.12977710666947931"/>
        <n v="8.38424680943331E-2"/>
        <n v="4.7895882487497952E-2"/>
        <n v="0.11474678314956774"/>
        <n v="0.10559329105808578"/>
        <n v="8.8839773787234899E-2"/>
        <n v="5.5151963887887262E-2"/>
        <n v="0.11262578224066835"/>
        <n v="0.15104206318933636"/>
        <n v="0.29098953707164127"/>
        <n v="0.38251778245327112"/>
        <n v="0.55085889473221294"/>
        <n v="0.13413342178867849"/>
        <n v="0.15767043238068912"/>
        <n v="0.25883758882062957"/>
        <n v="0.31154665286907773"/>
        <n v="0.1289998146451434"/>
        <n v="0.20326456486531255"/>
        <n v="0.40097132438019945"/>
        <n v="0.11006737168568288"/>
        <n v="0.29458306705270071"/>
        <n v="0.5296766801921885"/>
        <n v="0.31172402237634977"/>
        <n v="0.38774556782978575"/>
        <n v="0.40116457635467145"/>
        <n v="0.57389618552902066"/>
        <n v="0.93249286245082486"/>
        <n v="0.17232815954493894"/>
        <n v="0.44136941809160302"/>
        <n v="0.41567883293392421"/>
        <n v="0.43180620520659158"/>
        <n v="0.17562295537192607"/>
        <n v="0.58443861185322232"/>
        <n v="0.31686845138022762"/>
        <n v="0.25343079419573933"/>
        <n v="0.14444181082806432"/>
        <n v="0.18285795749009842"/>
        <n v="0.13951938284640286"/>
        <n v="8.0264516041673159E-2"/>
        <n v="0.10761753005125882"/>
        <n v="4.1517354563945043E-2"/>
        <n v="5.7918989937634745E-2"/>
        <n v="0.43967620912413574"/>
        <n v="0.29515226575057063"/>
        <n v="0.26782193154055406"/>
        <n v="0.47699060105485136"/>
        <n v="0.38480038690082047"/>
        <n v="0.22274034187668096"/>
        <n v="0.2120815647700352"/>
        <n v="0.13026240689707594"/>
        <n v="7.5976946647359614E-2"/>
        <n v="0.1822636247660831"/>
        <n v="0.1726010103586107"/>
        <n v="0.12659180910048029"/>
        <n v="8.8493143107159181E-2"/>
        <n v="0.18316634147045593"/>
        <n v="0.28407856345113014"/>
        <n v="0.42802164331443193"/>
        <n v="0.63214764582288574"/>
        <n v="0.85815349697818566"/>
        <n v="0.21601000746061425"/>
        <n v="0.22638349589074785"/>
        <n v="0.36833640795698341"/>
        <n v="0.49310167118723569"/>
        <n v="0.20121146020701255"/>
        <n v="0.34137424073946843"/>
        <n v="0.60524725210075525"/>
        <n v="0.15874550765237844"/>
        <n v="0.40943242503194022"/>
        <n v="0.66863508300571717"/>
        <n v="0.41585327052805826"/>
        <n v="0.54944474311656566"/>
        <n v="0.63410819826330767"/>
        <n v="0.77904989964038052"/>
        <n v="1.1076653184968703"/>
        <n v="0.20481521333561839"/>
        <n v="0.51512518437660082"/>
        <n v="0.48500787604762546"/>
        <n v="0.51811081693216932"/>
        <n v="0.19258897012381829"/>
        <n v="0.70545422548263137"/>
        <n v="0.39797111511659933"/>
        <n v="0.3171529083636635"/>
        <n v="0.18300360536587676"/>
        <n v="0.2357846847613676"/>
        <n v="0.18710889374038478"/>
        <n v="8.8493361788818836E-2"/>
        <n v="0.12313892436923589"/>
        <n v="4.8421304739834171E-2"/>
        <n v="6.2146633256384427E-2"/>
        <n v="0.52637930886867801"/>
        <n v="0.33109494967214553"/>
        <n v="0.3673884571544293"/>
        <n v="0.57240977127125203"/>
        <n v="0.44966353629146999"/>
        <n v="0.26672363526320469"/>
        <n v="0.24341621104855884"/>
        <n v="0.15204799390087537"/>
        <n v="8.9477176906499978E-2"/>
        <n v="0.20314431560631591"/>
        <n v="0.22523806411253747"/>
        <n v="0.13607674994335345"/>
        <n v="0.10092120670354998"/>
        <n v="0.20728678855332652"/>
        <n v="0.33849638695388012"/>
        <n v="0.54334562189345836"/>
        <n v="0.65837271576497269"/>
        <n v="1.0253755898228119"/>
        <n v="0.23616038783347937"/>
        <n v="0.27015739227101054"/>
        <n v="0.44217363824709488"/>
        <n v="0.57695372606686612"/>
        <n v="0.24076301489111485"/>
        <n v="0.43579087547265827"/>
        <n v="0.75675366044107983"/>
        <n v="0.19203435876226368"/>
        <n v="0.50798579479752093"/>
        <n v="0.84750389334473941"/>
        <n v="0.45671597795997826"/>
        <n v="0.57510793958829887"/>
        <n v="0.71938294380282186"/>
        <n v="0.98230169109018184"/>
        <n v="1.2530702018848856"/>
        <n v="0.23386644365942758"/>
        <n v="0.53839381504452111"/>
        <n v="0.54868247844303197"/>
        <n v="0.60558702184960855"/>
        <n v="0.21758784122065297"/>
        <n v="0.82633129590509091"/>
        <n v="0.46476029381613232"/>
        <n v="0.35778961426686279"/>
        <n v="0.20565523186490331"/>
        <n v="0.25456082859605972"/>
        <n v="0.22813033905775498"/>
        <n v="0.10301426153667706"/>
        <n v="0.14711105208825923"/>
        <n v="5.3129149672373054E-2"/>
        <n v="6.7596612653746474E-2"/>
        <n v="0.60262492489343855"/>
        <n v="0.3831075892555264"/>
        <n v="0.41649896357569993"/>
        <n v="0.55686781380834205"/>
        <n v="0.52312744015769919"/>
        <n v="0.30223976155374055"/>
        <n v="0.31175532606384171"/>
        <n v="0.17762892559889165"/>
        <n v="0.10933908777942737"/>
        <n v="0.21678449994352367"/>
        <n v="0.27363277331484975"/>
        <n v="0.1671214751714577"/>
        <n v="0.11744866273861421"/>
        <n v="0.23638978203365399"/>
        <n v="0.34527569150723741"/>
        <n v="0.58182353327954672"/>
        <n v="0.74908274329354629"/>
        <n v="1.1629874121834489"/>
        <n v="0.30419663548933479"/>
        <n v="0.33652970957416029"/>
        <n v="0.5416001139218084"/>
        <n v="0.60239354529204259"/>
        <n v="0.25953303013722567"/>
        <n v="0.48688919035591977"/>
        <n v="0.97237592841192033"/>
        <n v="0.20711781114856059"/>
        <n v="0.57294622852216193"/>
        <n v="0.89983048062951076"/>
        <n v="0.47166831692127442"/>
        <n v="0.62498182384200007"/>
        <n v="0.77293149937412486"/>
        <n v="0.92961150319640884"/>
        <n v="1.3411275543167589"/>
        <n v="0.2794153272212348"/>
        <n v="0.61695020302542192"/>
        <n v="0.65220173311070218"/>
        <n v="0.7260623436931305"/>
        <n v="0.24157675046772861"/>
        <n v="0.97540905079393847"/>
        <n v="0.6127242819465929"/>
        <n v="0.43600391845479081"/>
        <n v="0.24307280671750395"/>
        <n v="0.30944638431988292"/>
        <n v="0.28713344182490552"/>
        <n v="0.12430992188748102"/>
        <n v="0.18107084594304909"/>
        <n v="6.4279934219073215E-2"/>
        <n v="8.3664690498766681E-2"/>
        <n v="0.64014216104357513"/>
        <n v="0.4161107625459658"/>
        <n v="0.54656311574071981"/>
        <n v="0.6486531570828018"/>
        <n v="0.69656995967870405"/>
        <n v="0.35384864296404156"/>
        <n v="0.41844082922342896"/>
        <n v="0.20569634191794642"/>
        <n v="0.12192846852521447"/>
        <n v="0.28047472439967963"/>
        <n v="0.32870805241158263"/>
        <n v="0.1825299308939842"/>
        <n v="0.12091859441199555"/>
        <n v="0.28386173656585023"/>
        <n v="0.42770517306488925"/>
        <n v="0.66974220439697141"/>
        <n v="0.9021212946666507"/>
        <n v="1.3816778355735535"/>
        <n v="0.37339705983132621"/>
        <n v="0.40403256141269073"/>
        <n v="0.66794410403281168"/>
        <n v="0.72739454593524633"/>
        <n v="0.33432606045727536"/>
        <n v="0.52181952376224028"/>
        <n v="1.1131338062493283"/>
        <n v="0.2298862228548742"/>
        <n v="0.63566227242161155"/>
        <n v="1.057950835838074"/>
        <n v="0.57168880924021193"/>
        <n v="0.72640152169595473"/>
        <n v="0.8833645804412521"/>
        <n v="1.0994374689383226"/>
        <n v="1.6395441393790871"/>
        <n v="0.2903809940587751"/>
        <n v="0.63332774529341518"/>
        <n v="0.76680482550327489"/>
        <n v="0.82731554394556195"/>
        <n v="0.26088117013349449"/>
        <n v="0.95940309630598164"/>
        <n v="0.60287597626928457"/>
        <n v="0.43612213785030829"/>
        <n v="0.26599716560925368"/>
        <n v="0.34515863077775066"/>
        <n v="0.32004859119333573"/>
        <n v="0.14561046657496549"/>
        <n v="0.20115154527191265"/>
        <n v="5.6289020107200445E-2"/>
        <n v="9.8268092234380766E-2"/>
        <n v="0.63338748908007314"/>
        <n v="0.4879935310412386"/>
        <n v="0.55699084234778584"/>
        <n v="0.58614300009133613"/>
        <n v="0.68516192957211719"/>
        <n v="0.41028133961229502"/>
        <n v="0.44645175522583391"/>
        <n v="0.21966497290936673"/>
        <n v="0.1283262281500635"/>
        <n v="0.28012553578906918"/>
        <n v="0.34608917240313547"/>
        <n v="0.18751827792909856"/>
        <n v="0.14817986460185631"/>
        <n v="0.28482075100355558"/>
        <n v="0.43293391310364898"/>
        <n v="0.69073803556451263"/>
        <n v="0.91260014440888826"/>
        <n v="1.4304212698782572"/>
        <n v="0.37674647077011025"/>
        <n v="0.42022515883087963"/>
        <n v="0.62591997579690639"/>
        <n v="0.80207425474567839"/>
        <n v="0.39206670229172635"/>
        <n v="0.57059862607173384"/>
        <n v="1.1216702780062904"/>
        <n v="0.26028824531482292"/>
        <n v="0.67777071262188504"/>
        <n v="1.1068399453426181"/>
        <n v="0.55817658777172896"/>
        <n v="0.85619570476367035"/>
        <n v="0.94092069788677779"/>
        <n v="1.1105095507414042"/>
        <n v="1.6093500315077405"/>
        <n v="0.32471945453554135"/>
        <n v="0.73681382597868006"/>
        <n v="0.85267304262083898"/>
        <n v="0.95396795980870119"/>
        <n v="0.30630868382316245"/>
        <n v="1.1092574183117363"/>
        <n v="0.71502274385210318"/>
        <n v="0.4962265555576213"/>
        <n v="0.29870260927872533"/>
        <n v="0.39326093693203745"/>
        <n v="0.34453469613422766"/>
        <n v="0.17708882760536693"/>
        <n v="0.22004637146948636"/>
        <n v="5.9016420948084881E-2"/>
        <n v="0.11848840422921049"/>
        <n v="0.72273755011843399"/>
        <n v="0.53415893877081599"/>
        <n v="0.61540371865874921"/>
        <n v="0.6519961523654636"/>
        <n v="0.71239474919984713"/>
        <n v="0.47888032852963458"/>
        <n v="0.46067543321630211"/>
        <n v="0.24177964788239292"/>
        <n v="0.14421858498229093"/>
        <n v="0.32532336899125797"/>
        <n v="0.36576730061847723"/>
        <n v="0.19352433459673221"/>
        <n v="0.1681787387922965"/>
        <n v="0.31187083332247978"/>
        <n v="0.43571096909386364"/>
        <n v="0.72693425950678048"/>
        <n v="1.0509363120438853"/>
        <n v="1.5799534238921946"/>
        <n v="0.41517345596450478"/>
        <n v="0.46274423080402155"/>
        <n v="0.60160022178047479"/>
        <n v="0.91998701569068841"/>
        <n v="0.404054191734389"/>
        <n v="0.59456658759087155"/>
        <n v="1.2611481066864167"/>
        <n v="0.29598771068739715"/>
        <n v="0.70875646032251327"/>
        <n v="1.2054258625536067"/>
        <n v="0.60051960582551489"/>
        <n v="0.85540787580309841"/>
        <n v="0.99385092352260351"/>
        <n v="1.1919506874102781"/>
        <n v="1.8326624562814473"/>
        <n v="0.32062089308322572"/>
        <n v="0.71445964435467568"/>
        <n v="0.89235301780752707"/>
        <n v="0.94102231695798733"/>
        <n v="0.32718688939529295"/>
        <n v="1.0756891618650868"/>
        <n v="0.69811771589795357"/>
        <n v="0.50100171944649641"/>
        <n v="0.30036990414115944"/>
        <n v="0.35648595681788842"/>
        <n v="0.32806873695969341"/>
        <n v="0.16589317014665886"/>
        <n v="0.19443782170241786"/>
        <n v="5.6199808995743485E-2"/>
        <n v="0.10668710613634334"/>
        <n v="0.68655256401401132"/>
        <n v="0.53130379579262754"/>
        <n v="0.57434322805292348"/>
        <n v="0.68204651866724275"/>
        <n v="0.71249315394355861"/>
        <n v="0.50563293861814096"/>
        <n v="0.44613172469633477"/>
        <n v="0.22236162841382226"/>
        <n v="0.13562886095912483"/>
        <n v="0.33997415067002174"/>
        <n v="0.33457215358522857"/>
        <n v="0.19664970691306627"/>
        <n v="0.14473989185463698"/>
        <n v="0.29904829740444971"/>
        <n v="0.40930804707765128"/>
        <n v="0.71611159254345602"/>
        <n v="1.0153599385510046"/>
        <n v="1.5557915297877112"/>
        <n v="0.39546175001835365"/>
        <n v="0.45835941356523963"/>
        <n v="0.60408423479828177"/>
        <n v="0.91020769551118008"/>
        <n v="0.37431200608615312"/>
        <n v="0.57970836349360677"/>
        <n v="1.1930657047310358"/>
        <n v="0.28029764431524634"/>
        <n v="0.73061017084292557"/>
        <n v="1.1968493176664043"/>
        <n v="0.65346096629031492"/>
        <n v="0.86186380947433161"/>
        <n v="0.99306542799950415"/>
        <n v="1.1605293556962788"/>
        <n v="1.8270277230944807"/>
        <n v="0.37162847410341426"/>
        <n v="0.79758489513599529"/>
        <n v="0.98281065494729614"/>
        <n v="1.022985420736541"/>
        <n v="0.38646973814513275"/>
        <n v="1.1543037560981073"/>
        <n v="0.85268105763116198"/>
        <n v="0.58892743883727317"/>
        <n v="0.33508135959923763"/>
        <n v="0.41588027211002815"/>
        <n v="0.42210739405285586"/>
        <n v="0.20985661616746737"/>
        <n v="0.23407577467025839"/>
        <n v="7.7069543796399395E-2"/>
        <n v="0.12995883193625132"/>
        <n v="0.80715581047311236"/>
        <n v="0.68165433468675851"/>
        <n v="0.6611077136627147"/>
        <n v="0.68863265043462429"/>
        <n v="0.85700413238512274"/>
        <n v="0.59680793818455902"/>
        <n v="0.51124927516805185"/>
        <n v="0.26243439839759231"/>
        <n v="0.15564565253120363"/>
        <n v="0.4099807283812778"/>
        <n v="0.40472497378780775"/>
        <n v="0.24257883756095869"/>
        <n v="0.17145573041305384"/>
        <n v="0.36460948884876587"/>
        <n v="0.494699999237804"/>
        <n v="0.80034203759849043"/>
        <n v="1.1132991620546924"/>
        <n v="1.6863320671838409"/>
        <n v="0.39542018599600459"/>
        <n v="0.50665649443861527"/>
        <n v="0.73455027033099696"/>
        <n v="1.0772355566580325"/>
        <n v="0.43461105312328124"/>
        <n v="0.62857969606488329"/>
        <n v="1.392814940362743"/>
        <n v="0.28951438859721124"/>
        <n v="0.85692496899354331"/>
        <n v="1.2072038982696505"/>
        <n v="0.73295339352955735"/>
        <n v="0.95146472104056823"/>
        <n v="1.0542758777941352"/>
        <n v="1.2828366028577214"/>
        <n v="2.0592129632517513"/>
        <n v="0.35923998598566581"/>
        <n v="0.82540157848140927"/>
        <n v="0.93534667373609792"/>
        <n v="1.0159858118030898"/>
        <n v="0.43276613050712293"/>
        <n v="1.0670501090337605"/>
        <n v="0.84122895643693629"/>
        <n v="0.57365682193007506"/>
        <n v="0.31968050156799516"/>
        <n v="0.36504182012764735"/>
        <n v="0.36813928682731067"/>
        <n v="0.19608260569782002"/>
        <n v="0.21830617254319251"/>
        <n v="8.2095936768182776E-2"/>
        <n v="0.11886780112486517"/>
        <n v="0.84066784750498935"/>
        <n v="0.6410008844940186"/>
        <n v="0.63315108763871664"/>
        <n v="0.76185682794949972"/>
        <n v="0.77157059259331684"/>
        <n v="0.56579749792422751"/>
        <n v="0.49810383878885395"/>
        <n v="0.26795247717363424"/>
        <n v="0.15711812363904493"/>
        <n v="0.37420073221386185"/>
        <n v="0.37716843667326072"/>
        <n v="0.22765170208145771"/>
        <n v="0.15931410640684524"/>
        <n v="0.32058634713708323"/>
        <n v="0.47813294588718336"/>
        <n v="0.7979546877763769"/>
        <n v="1.1583645287198892"/>
        <n v="1.4323806985819252"/>
        <n v="0.39303549617563999"/>
        <n v="0.47947881461597408"/>
        <n v="0.66894074950977689"/>
        <n v="0.95172355800967934"/>
        <n v="0.41025772621422629"/>
        <n v="0.61159990145062793"/>
        <n v="1.235220931827423"/>
        <n v="0.27363254535348103"/>
        <n v="0.82287179221267281"/>
        <n v="1.2217182513933937"/>
        <n v="0.74472287774098211"/>
        <n v="0.88185050515868413"/>
        <n v="1.1086076343946865"/>
        <n v="1.2748282084063323"/>
        <n v="1.9309354702669104"/>
        <n v="0.33599459866312004"/>
        <n v="0.81407460900647488"/>
        <n v="1.0543422869264083"/>
        <n v="1.1141463252270238"/>
        <n v="0.43576617292101855"/>
        <n v="1.1805651862395434"/>
        <n v="0.93232773301253669"/>
        <n v="0.63045305421658948"/>
        <n v="0.31245158246223709"/>
        <n v="0.33040303517787217"/>
        <n v="0.37609437777965987"/>
        <n v="0.1827191973102669"/>
        <n v="0.21752619706802551"/>
        <n v="5.8891074184852114E-2"/>
        <n v="9.7163291310993521E-2"/>
        <n v="0.79985960671426881"/>
        <n v="0.57184806098638508"/>
        <n v="0.56785751127224326"/>
        <n v="0.69986017631411046"/>
        <n v="0.77322765801693794"/>
        <n v="0.52098013656029396"/>
        <n v="0.46391926400551003"/>
        <n v="0.21465319282379103"/>
        <n v="0.12738791941541183"/>
        <n v="0.33426973118318104"/>
        <n v="0.39010750961073287"/>
        <n v="0.1967714882377179"/>
        <n v="0.14238233818267118"/>
        <n v="0.41400570322193431"/>
        <n v="0.44828962951977286"/>
        <n v="0.70048100492820065"/>
        <n v="1.1197192244563006"/>
        <n v="1.5247793170846669"/>
        <n v="0.41070510928115217"/>
        <n v="0.42518413637666247"/>
        <n v="0.61799774318357115"/>
        <n v="0.93080081950853877"/>
        <n v="0.39662307055141749"/>
        <n v="0.54468238304460226"/>
        <n v="1.4283812238224127"/>
        <n v="0.25609793748836884"/>
        <n v="0.88044990007958268"/>
        <n v="1.1323099510447958"/>
        <n v="0.74311700164152594"/>
        <n v="0.89325858853810092"/>
        <n v="1.1619137176663614"/>
        <n v="1.3851425435975193"/>
        <n v="1.9901437412334755"/>
        <n v="0.35530818542812331"/>
        <n v="0.80078505522316934"/>
        <n v="1.0491969883126613"/>
        <n v="1.1836867314479067"/>
        <n v="0.4527542065422025"/>
        <n v="1.2890742888596864"/>
        <n v="0.98371689264300599"/>
        <n v="0.61724310387771641"/>
        <n v="0.33730486598878728"/>
        <n v="0.35663626531180009"/>
        <n v="0.4178541127133204"/>
        <n v="0.19389357156948855"/>
        <n v="0.23627757623411502"/>
        <n v="5.9751165675234141E-2"/>
        <n v="9.7545872975015116E-2"/>
        <n v="0.8887476328607673"/>
        <n v="0.6448395232170514"/>
        <n v="0.57909417246064232"/>
        <n v="0.74211275093777729"/>
        <n v="0.79438069602306438"/>
        <n v="0.67488197492745938"/>
        <n v="0.47425865240302223"/>
        <n v="0.241714140744551"/>
        <n v="0.14608028759630767"/>
        <n v="0.38400674382726679"/>
        <n v="0.44164535316323739"/>
        <n v="0.22023253988311417"/>
        <n v="0.14723515818506119"/>
        <n v="0.40751602429622974"/>
        <n v="0.43058151446256032"/>
        <n v="0.79853876178282712"/>
        <n v="1.1895715477596356"/>
        <n v="1.5165849046638953"/>
        <n v="0.46269649855994971"/>
        <n v="0.43696276121625871"/>
        <n v="0.60722127541064508"/>
        <n v="1.0190283795816466"/>
        <n v="0.44452416489940105"/>
        <n v="0.66653941330852107"/>
        <n v="1.5540665515699832"/>
        <n v="0.28195706141945476"/>
        <n v="0.93102980188602413"/>
        <n v="1.2601515775474745"/>
        <n v="0.85058591584994514"/>
        <n v="1.0408109358490145"/>
        <n v="1.2201224636281438"/>
        <n v="1.4244778536859455"/>
        <n v="2.2833054550225902"/>
        <n v="0.38779469424280544"/>
        <n v="0.85078245451194356"/>
        <n v="1.1321258560082503"/>
        <n v="1.1607593001534677"/>
        <n v="0.49343251308636732"/>
        <n v="1.175922604234287"/>
        <n v="1.065507640709275"/>
        <n v="0.67777228549463309"/>
        <n v="0.34292104993084643"/>
        <n v="0.36701608743782815"/>
        <n v="0.45287880237856915"/>
        <n v="0.20283807132688536"/>
        <n v="0.23855817522101808"/>
        <n v="7.315582500552717E-2"/>
        <n v="0.10662337112058697"/>
        <n v="0.88882247964010686"/>
        <n v="0.68328260470220747"/>
        <n v="0.64385715715551639"/>
        <n v="0.70770506869416949"/>
        <n v="0.84991013700452911"/>
        <n v="0.68284892460853552"/>
        <n v="0.50568946303616036"/>
        <n v="0.26634844631536669"/>
        <n v="0.16138607044663372"/>
        <n v="0.42994158799856969"/>
        <n v="0.4509172593985612"/>
        <n v="0.24297734580861519"/>
        <n v="0.16974855816154039"/>
        <n v="0.51946069732301259"/>
        <n v="0.48602514361896876"/>
        <n v="0.81704593660909741"/>
        <n v="1.3441830724613142"/>
        <n v="1.637435068305686"/>
        <n v="0.47243492692204281"/>
        <n v="0.43803642639178592"/>
        <n v="0.69120997221928637"/>
        <n v="1.0714432242190768"/>
        <n v="0.47628767786351728"/>
        <n v="0.66196117176023228"/>
        <n v="1.6634403886659239"/>
        <n v="0.3033681081223486"/>
        <n v="1.0328975627536607"/>
        <n v="1.3967094706806018"/>
        <n v="1.0646107099906674"/>
        <n v="1.0657746858301265"/>
        <n v="1.304209244585548"/>
        <n v="1.508679973039398"/>
        <n v="2.3933157906719438"/>
        <n v="0.36645535825987419"/>
        <n v="0.7520592870220224"/>
        <n v="1.0989647581698578"/>
        <n v="1.1730652903179493"/>
        <n v="0.49832489082120612"/>
        <n v="1.1611805893529779"/>
        <n v="1.0444628518789323"/>
        <n v="0.65725632356533081"/>
        <n v="0.36079591619245471"/>
        <n v="0.34561470404317052"/>
        <n v="0.42975813112235189"/>
        <n v="0.20001165923159489"/>
        <n v="0.23095951424495564"/>
        <n v="5.474753164223313E-2"/>
        <n v="9.8937571346729078E-2"/>
        <n v="0.85169994617547506"/>
        <n v="0.66834214719650242"/>
        <n v="0.58538063237210203"/>
        <n v="0.71572008236065343"/>
        <n v="0.81579487243065607"/>
        <n v="0.66506292359298735"/>
        <n v="0.45889302357928258"/>
        <n v="0.25594779428160069"/>
        <n v="0.15449671305280932"/>
        <n v="0.40848906972960569"/>
        <n v="0.47450967995354004"/>
        <n v="0.20641917604961282"/>
        <n v="0.12999042136012576"/>
        <n v="0.53281996074245996"/>
        <n v="0.47177100333766908"/>
        <n v="0.78358553266469044"/>
        <n v="1.2827935727529363"/>
        <n v="1.5874319863465665"/>
        <n v="0.47051151465539226"/>
        <n v="0.45356027559740858"/>
        <n v="0.65477787479416105"/>
        <n v="1.0479580484602493"/>
        <n v="0.42833519109158102"/>
        <n v="0.6056360493184203"/>
        <n v="1.6633823371162282"/>
        <n v="0.29221629375519748"/>
        <n v="0.9822007966586539"/>
        <n v="1.2771826861218971"/>
        <n v="0.91434636412262749"/>
        <n v="1.0402895539322443"/>
        <n v="1.3010710392296292"/>
        <n v="1.4880054103007714"/>
        <n v="2.2075886423907729"/>
        <n v="0.35046490541271053"/>
        <n v="0.80164802001005375"/>
        <n v="1.1884066972564482"/>
        <n v="1.1764733713109259"/>
        <n v="0.48096069283181009"/>
        <n v="1.1877810421222366"/>
        <n v="1.0282711683342387"/>
        <n v="0.64592951877565552"/>
        <n v="0.34334592678909087"/>
        <n v="0.35597421461504775"/>
        <n v="0.43984295704304938"/>
        <n v="0.18844288254367683"/>
        <n v="0.21118159599853553"/>
        <n v="6.0738681573709187E-2"/>
        <n v="9.3203076511234065E-2"/>
        <n v="0.83308979236635283"/>
        <n v="0.64567282786803815"/>
        <n v="0.61217834794886683"/>
        <n v="0.7175623569226135"/>
        <n v="0.84696973507731543"/>
        <n v="0.65784985657553374"/>
        <n v="0.48168112952302128"/>
        <n v="0.25214686718459894"/>
        <n v="0.15427161950352539"/>
        <n v="0.40990126869036086"/>
        <n v="0.47535173056548419"/>
        <n v="0.22099079193963075"/>
        <n v="0.14184676642224514"/>
        <n v="0.27558647542441156"/>
        <n v="0.47142905971113602"/>
        <n v="0.78054280194317838"/>
        <n v="1.3182777891556789"/>
        <n v="1.6576448299961992"/>
        <n v="0.45472187922212026"/>
        <n v="0.4402926774101899"/>
        <n v="0.64208492828453567"/>
        <n v="1.0363092439512192"/>
        <n v="0.42663815959095319"/>
        <n v="0.70113252482588639"/>
        <n v="1.582918608774168"/>
        <n v="0.29262229617026114"/>
        <n v="1.0318109763740739"/>
        <n v="1.2573127099526089"/>
        <n v="0.94032455730004283"/>
        <n v="1.0903672527510184"/>
        <n v="1.293471656944311"/>
        <n v="1.4821116988783054"/>
        <n v="2.1463791682794584"/>
        <n v="0.29728254512121233"/>
        <n v="0.7368875506359106"/>
        <n v="1.0504515665421845"/>
        <n v="1.0641142428250627"/>
        <n v="0.43040177286436143"/>
        <n v="1.078343152863533"/>
        <n v="0.9568135356836116"/>
        <n v="0.56821213464026732"/>
        <n v="0.29819356027970195"/>
        <n v="0.30821106094179584"/>
        <n v="0.37882371175338775"/>
        <n v="0.15733858467205702"/>
        <n v="0.18688321194427399"/>
        <n v="4.3592237053472954E-2"/>
        <n v="7.6993791818479165E-2"/>
        <n v="0.75991907803035119"/>
        <n v="0.59299778388289315"/>
        <n v="0.51902843423146683"/>
        <n v="0.57113403518222816"/>
        <n v="0.72978596304609455"/>
        <n v="0.54449292033796315"/>
        <n v="0.41137822586562756"/>
        <n v="0.21903824102042696"/>
        <n v="0.1220015604955757"/>
        <n v="0.36741390150677006"/>
        <n v="0.4177919739120835"/>
        <n v="0.17664900143272474"/>
        <n v="0.11043044672254648"/>
        <n v="0.23996121124261482"/>
        <n v="0.38214171911942774"/>
        <n v="0.65190865930690045"/>
        <n v="1.1734292562261335"/>
        <n v="1.4937695644094402"/>
        <n v="0.40542211690606045"/>
        <n v="0.3850252027964427"/>
        <n v="0.5779861826029985"/>
        <n v="0.93129326230718257"/>
        <n v="0.38510877927675174"/>
        <n v="0.56694520705652551"/>
        <n v="1.4111043876462448"/>
        <n v="0.26456389035747274"/>
        <n v="0.96281565005612613"/>
        <n v="1.127578612526428"/>
        <n v="0.80765552123107098"/>
        <n v="0.96354027530617969"/>
        <n v="1.1863918928354209"/>
        <n v="1.3237173401077227"/>
        <n v="1.8852770770365328"/>
        <n v="0.2062654935843907"/>
        <n v="0.5074603602203569"/>
        <n v="0.7138568711317983"/>
        <n v="0.76106073141180941"/>
        <n v="0.28811207132574751"/>
        <n v="0.78302100281102838"/>
        <n v="0.68989283758140341"/>
        <n v="0.38209780834896029"/>
        <n v="0.20572184949153915"/>
        <n v="0.19852181536926783"/>
        <n v="0.26026494383338311"/>
        <n v="0.12100464127231782"/>
        <n v="0.1435695666258896"/>
        <n v="3.2732961184594865E-2"/>
        <n v="5.4650627286750589E-2"/>
        <n v="0.50322314955082237"/>
        <n v="0.39012741593637262"/>
        <n v="0.36220273664921415"/>
        <n v="0.45496527305150986"/>
        <n v="0.43945915022600635"/>
        <n v="0.34662441136974526"/>
        <n v="0.28953669502129986"/>
        <n v="0.15919197691096498"/>
        <n v="8.2535972176754777E-2"/>
        <n v="0.25236379391304092"/>
        <n v="0.2861193584963686"/>
        <n v="0.12149362732255414"/>
        <n v="7.1135719696184069E-2"/>
        <n v="0.15945357322369533"/>
        <n v="0.29205421638880147"/>
        <n v="0.43539524006520758"/>
        <n v="0.83561400137326258"/>
        <n v="1.0695154149004222"/>
        <n v="0.28350232514989954"/>
        <n v="0.2937073771731552"/>
        <n v="0.3957033713457257"/>
        <n v="0.66483991254292407"/>
        <n v="0.28832595601276106"/>
        <n v="0.50074653391094925"/>
        <n v="1.0373083066431628"/>
        <n v="0.19212391326153294"/>
        <n v="0.71615392410752443"/>
        <n v="0.97366475378371642"/>
        <n v="0.62553380996132746"/>
        <n v="0.67436585457845832"/>
        <n v="0.82030526349759458"/>
        <n v="1.0093578580033935"/>
        <n v="1.4140098413259747"/>
        <n v="0.2027847336070798"/>
        <n v="0.52194665499738702"/>
        <n v="0.78281271311291278"/>
        <n v="0.81682566263405476"/>
        <n v="0.31564231199483817"/>
        <n v="0.79803263379265443"/>
        <n v="0.77185443964426437"/>
        <n v="0.38624637580604398"/>
        <n v="0.21049581709279536"/>
        <n v="0.2029071151848045"/>
        <n v="0.26932606761268224"/>
        <n v="0.11799927130614458"/>
        <n v="0.14786356052362029"/>
        <n v="3.2159801629221725E-2"/>
        <n v="5.0970281281727391E-2"/>
        <n v="0.51779821580831475"/>
        <n v="0.40068602757315713"/>
        <n v="0.3730417037986602"/>
        <n v="0.47158193799203063"/>
        <n v="0.42003259410017602"/>
        <n v="0.3564771183170467"/>
        <n v="0.30278449221703624"/>
        <n v="0.15222396730727061"/>
        <n v="8.1178053483164578E-2"/>
        <n v="0.24740433333650388"/>
        <n v="0.25403179986229607"/>
        <n v="0.12143746465577476"/>
        <n v="6.7582570716738399E-2"/>
        <n v="0.15175913595703128"/>
        <n v="0.27586047722723139"/>
        <n v="0.43390602084589652"/>
        <n v="0.88549239095224919"/>
        <n v="1.1191232870775745"/>
        <n v="0.27856249994754034"/>
        <n v="0.2901686648039844"/>
        <n v="0.41344887389922885"/>
        <n v="0.70094002265191879"/>
        <n v="0.29435270393796537"/>
        <n v="0.48474351307513525"/>
        <n v="1.106364857811835"/>
        <n v="0.18338391738199689"/>
        <n v="0.74181141510390014"/>
        <n v="0.90206286094539145"/>
        <n v="0.6105639890724075"/>
        <n v="0.72164910401716886"/>
        <n v="0.81384210637236831"/>
        <n v="1.0298428406570004"/>
        <n v="1.4001476976807381"/>
        <n v="0.21022554718298306"/>
        <n v="0.55321660005143392"/>
        <n v="0.83499604975065056"/>
        <n v="0.89163866242541345"/>
        <n v="0.31763959925474494"/>
        <n v="0.88898430050920407"/>
        <n v="0.85549354144255008"/>
        <n v="0.44315962498851069"/>
        <n v="0.23594581554428035"/>
        <n v="0.22655292292779974"/>
        <n v="0.28242528523264188"/>
        <n v="0.12028105328957096"/>
        <n v="0.1490025245326442"/>
        <n v="3.2684284372511682E-2"/>
        <n v="5.0688322784508397E-2"/>
        <n v="0.55333370594402487"/>
        <n v="0.42892414309606613"/>
        <n v="0.41872610849730207"/>
        <n v="0.44035959291305649"/>
        <n v="0.47909047338238236"/>
        <n v="0.39402567289607515"/>
        <n v="0.31932927193905258"/>
        <n v="0.16734570871468982"/>
        <n v="8.7421207624166622E-2"/>
        <n v="0.26819334306772175"/>
        <n v="0.27242822843277759"/>
        <n v="0.12692902248559085"/>
        <n v="6.728011978387731E-2"/>
        <n v="0.15234904216645839"/>
        <n v="0.31474270043662728"/>
        <n v="0.46913223411272875"/>
        <n v="0.97385930825129796"/>
        <n v="1.1884446770528987"/>
        <n v="0.30616345263992678"/>
        <n v="0.30473834424708246"/>
        <n v="0.39408503156824998"/>
        <n v="0.73631647177348414"/>
        <n v="0.31056088946825983"/>
        <n v="0.47439421023175066"/>
        <n v="1.1691400205492712"/>
        <n v="0.18850920614700917"/>
        <n v="0.77807468874692309"/>
        <n v="0.95045418317897656"/>
        <n v="0.65738407281384992"/>
        <n v="0.76041985118105104"/>
        <n v="0.90067077909687232"/>
        <n v="1.0611810526670384"/>
        <n v="1.48376168672353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1">
  <r>
    <s v="2017年度"/>
    <s v="00000"/>
    <x v="0"/>
    <n v="20542834702"/>
    <n v="1126486833"/>
    <n v="1240929839"/>
    <n v="2367416672"/>
    <x v="0"/>
  </r>
  <r>
    <s v="2017年度"/>
    <s v="01000"/>
    <x v="1"/>
    <n v="695812140"/>
    <n v="96533795"/>
    <n v="81327647"/>
    <n v="177861442"/>
    <x v="1"/>
  </r>
  <r>
    <s v="2017年度"/>
    <s v="02000"/>
    <x v="2"/>
    <n v="167954955"/>
    <n v="25730639"/>
    <n v="11958923"/>
    <n v="37689562"/>
    <x v="2"/>
  </r>
  <r>
    <s v="2017年度"/>
    <s v="03000"/>
    <x v="3"/>
    <n v="155951549"/>
    <n v="33182090"/>
    <n v="22293399"/>
    <n v="55475489"/>
    <x v="3"/>
  </r>
  <r>
    <s v="2017年度"/>
    <s v="04000"/>
    <x v="4"/>
    <n v="335182778"/>
    <n v="34504732"/>
    <n v="33507976"/>
    <n v="68012708"/>
    <x v="4"/>
  </r>
  <r>
    <s v="2017年度"/>
    <s v="05000"/>
    <x v="5"/>
    <n v="113824612"/>
    <n v="27314652"/>
    <n v="11728292"/>
    <n v="39042944"/>
    <x v="5"/>
  </r>
  <r>
    <s v="2017年度"/>
    <s v="06000"/>
    <x v="6"/>
    <n v="131492453"/>
    <n v="18031663"/>
    <n v="14012907"/>
    <n v="32044570"/>
    <x v="6"/>
  </r>
  <r>
    <s v="2017年度"/>
    <s v="07000"/>
    <x v="7"/>
    <n v="270982365"/>
    <n v="78513443"/>
    <n v="178642648"/>
    <n v="257156091"/>
    <x v="7"/>
  </r>
  <r>
    <s v="2017年度"/>
    <s v="08000"/>
    <x v="8"/>
    <n v="411107290"/>
    <n v="11698451"/>
    <n v="16849751"/>
    <n v="28548202"/>
    <x v="8"/>
  </r>
  <r>
    <s v="2017年度"/>
    <s v="09000"/>
    <x v="9"/>
    <n v="289130264"/>
    <n v="13874524"/>
    <n v="11894843"/>
    <n v="25769367"/>
    <x v="9"/>
  </r>
  <r>
    <s v="2017年度"/>
    <n v="10000"/>
    <x v="10"/>
    <n v="275828373"/>
    <n v="12919318"/>
    <n v="10766193"/>
    <n v="23685511"/>
    <x v="10"/>
  </r>
  <r>
    <s v="2017年度"/>
    <n v="11000"/>
    <x v="11"/>
    <n v="895524715"/>
    <n v="9819645"/>
    <n v="30075848"/>
    <n v="39895493"/>
    <x v="11"/>
  </r>
  <r>
    <s v="2017年度"/>
    <n v="12000"/>
    <x v="12"/>
    <n v="820359033"/>
    <n v="24840787"/>
    <n v="43636805"/>
    <n v="68477592"/>
    <x v="12"/>
  </r>
  <r>
    <s v="2017年度"/>
    <n v="13000"/>
    <x v="13"/>
    <n v="5289244641"/>
    <n v="42672701"/>
    <n v="121370570"/>
    <n v="164043271"/>
    <x v="13"/>
  </r>
  <r>
    <s v="2017年度"/>
    <n v="14000"/>
    <x v="14"/>
    <n v="1295865290"/>
    <n v="6406269"/>
    <n v="34562440"/>
    <n v="40968709"/>
    <x v="14"/>
  </r>
  <r>
    <s v="2017年度"/>
    <n v="15000"/>
    <x v="15"/>
    <n v="291298597"/>
    <n v="39023832"/>
    <n v="23349767"/>
    <n v="62373599"/>
    <x v="15"/>
  </r>
  <r>
    <s v="2017年度"/>
    <n v="16000"/>
    <x v="16"/>
    <n v="148625171"/>
    <n v="15976951"/>
    <n v="10128196"/>
    <n v="26105147"/>
    <x v="16"/>
  </r>
  <r>
    <s v="2017年度"/>
    <n v="17000"/>
    <x v="17"/>
    <n v="163880011"/>
    <n v="12079207"/>
    <n v="12833898"/>
    <n v="24913105"/>
    <x v="17"/>
  </r>
  <r>
    <s v="2017年度"/>
    <n v="18000"/>
    <x v="18"/>
    <n v="120537658"/>
    <n v="14667829"/>
    <n v="7767796"/>
    <n v="22435625"/>
    <x v="18"/>
  </r>
  <r>
    <s v="2017年度"/>
    <n v="19000"/>
    <x v="19"/>
    <n v="114451378"/>
    <n v="13027482"/>
    <n v="6009811"/>
    <n v="19037293"/>
    <x v="19"/>
  </r>
  <r>
    <s v="2017年度"/>
    <n v="20000"/>
    <x v="20"/>
    <n v="274773737"/>
    <n v="14943523"/>
    <n v="14619806"/>
    <n v="29563329"/>
    <x v="20"/>
  </r>
  <r>
    <s v="2017年度"/>
    <n v="21000"/>
    <x v="21"/>
    <n v="266772434"/>
    <n v="21299709"/>
    <n v="12876073"/>
    <n v="34175782"/>
    <x v="21"/>
  </r>
  <r>
    <s v="2017年度"/>
    <n v="22000"/>
    <x v="22"/>
    <n v="556619879"/>
    <n v="16179269"/>
    <n v="19954479"/>
    <n v="36133748"/>
    <x v="22"/>
  </r>
  <r>
    <s v="2017年度"/>
    <n v="23000"/>
    <x v="23"/>
    <n v="1231373367"/>
    <n v="24147297"/>
    <n v="30598263"/>
    <n v="54745560"/>
    <x v="23"/>
  </r>
  <r>
    <s v="2017年度"/>
    <n v="24000"/>
    <x v="24"/>
    <n v="260275786"/>
    <n v="16436265"/>
    <n v="12841168"/>
    <n v="29277433"/>
    <x v="24"/>
  </r>
  <r>
    <s v="2017年度"/>
    <n v="25000"/>
    <x v="25"/>
    <n v="190095235"/>
    <n v="5562722"/>
    <n v="11396268"/>
    <n v="16958990"/>
    <x v="25"/>
  </r>
  <r>
    <s v="2017年度"/>
    <n v="26000"/>
    <x v="26"/>
    <n v="334538245"/>
    <n v="12583195"/>
    <n v="19378702"/>
    <n v="31961897"/>
    <x v="26"/>
  </r>
  <r>
    <s v="2017年度"/>
    <n v="27000"/>
    <x v="27"/>
    <n v="1328869569"/>
    <n v="12587937"/>
    <n v="42883258"/>
    <n v="55471195"/>
    <x v="27"/>
  </r>
  <r>
    <s v="2017年度"/>
    <n v="28000"/>
    <x v="28"/>
    <n v="723040976"/>
    <n v="25422007"/>
    <n v="30127812"/>
    <n v="55549819"/>
    <x v="28"/>
  </r>
  <r>
    <s v="2017年度"/>
    <n v="29000"/>
    <x v="29"/>
    <n v="146746601"/>
    <n v="15058172"/>
    <n v="8034503"/>
    <n v="23092675"/>
    <x v="29"/>
  </r>
  <r>
    <s v="2017年度"/>
    <n v="30000"/>
    <x v="30"/>
    <n v="108128102"/>
    <n v="15363257"/>
    <n v="10392913"/>
    <n v="25756170"/>
    <x v="30"/>
  </r>
  <r>
    <s v="2017年度"/>
    <n v="31000"/>
    <x v="31"/>
    <n v="66401665"/>
    <n v="11466501"/>
    <n v="9579301"/>
    <n v="21045802"/>
    <x v="31"/>
  </r>
  <r>
    <s v="2017年度"/>
    <n v="32000"/>
    <x v="32"/>
    <n v="80604106"/>
    <n v="14433858"/>
    <n v="11206864"/>
    <n v="25640722"/>
    <x v="32"/>
  </r>
  <r>
    <s v="2017年度"/>
    <n v="33000"/>
    <x v="33"/>
    <n v="251618522"/>
    <n v="11396657"/>
    <n v="13840183"/>
    <n v="25236840"/>
    <x v="33"/>
  </r>
  <r>
    <s v="2017年度"/>
    <n v="34000"/>
    <x v="34"/>
    <n v="386249528"/>
    <n v="9277475"/>
    <n v="28275218"/>
    <n v="37552693"/>
    <x v="34"/>
  </r>
  <r>
    <s v="2017年度"/>
    <n v="35000"/>
    <x v="35"/>
    <n v="180715192"/>
    <n v="12009016"/>
    <n v="19368737"/>
    <n v="31377753"/>
    <x v="35"/>
  </r>
  <r>
    <s v="2017年度"/>
    <n v="36000"/>
    <x v="36"/>
    <n v="92577230"/>
    <n v="9975876"/>
    <n v="7987103"/>
    <n v="17962979"/>
    <x v="36"/>
  </r>
  <r>
    <s v="2017年度"/>
    <n v="37000"/>
    <x v="37"/>
    <n v="135107965"/>
    <n v="9416612"/>
    <n v="8884539"/>
    <n v="18301151"/>
    <x v="37"/>
  </r>
  <r>
    <s v="2017年度"/>
    <n v="38000"/>
    <x v="38"/>
    <n v="166509638"/>
    <n v="13178070"/>
    <n v="10783142"/>
    <n v="23961212"/>
    <x v="38"/>
  </r>
  <r>
    <s v="2017年度"/>
    <n v="39000"/>
    <x v="39"/>
    <n v="79904593"/>
    <n v="12983918"/>
    <n v="8779427"/>
    <n v="21763345"/>
    <x v="39"/>
  </r>
  <r>
    <s v="2017年度"/>
    <n v="40000"/>
    <x v="40"/>
    <n v="660081826"/>
    <n v="29786655"/>
    <n v="38686893"/>
    <n v="68473548"/>
    <x v="40"/>
  </r>
  <r>
    <s v="2017年度"/>
    <n v="41000"/>
    <x v="41"/>
    <n v="100802437"/>
    <n v="16915000"/>
    <n v="6697126"/>
    <n v="23612126"/>
    <x v="41"/>
  </r>
  <r>
    <s v="2017年度"/>
    <n v="42000"/>
    <x v="42"/>
    <n v="142807843"/>
    <n v="30640684"/>
    <n v="23453302"/>
    <n v="54093986"/>
    <x v="42"/>
  </r>
  <r>
    <s v="2017年度"/>
    <n v="43000"/>
    <x v="43"/>
    <n v="201888053"/>
    <n v="40069513"/>
    <n v="42916820"/>
    <n v="82986333"/>
    <x v="43"/>
  </r>
  <r>
    <s v="2017年度"/>
    <n v="44000"/>
    <x v="44"/>
    <n v="137654929"/>
    <n v="23297100"/>
    <n v="10620278"/>
    <n v="33917378"/>
    <x v="44"/>
  </r>
  <r>
    <s v="2017年度"/>
    <n v="45000"/>
    <x v="45"/>
    <n v="123635388"/>
    <n v="32627383"/>
    <n v="13755437"/>
    <n v="46382820"/>
    <x v="45"/>
  </r>
  <r>
    <s v="2017年度"/>
    <n v="46000"/>
    <x v="46"/>
    <n v="180084010"/>
    <n v="43485932"/>
    <n v="26264075"/>
    <n v="69750007"/>
    <x v="46"/>
  </r>
  <r>
    <s v="2017年度"/>
    <n v="47000"/>
    <x v="47"/>
    <n v="147904573"/>
    <n v="95125220"/>
    <n v="64010439"/>
    <n v="159135659"/>
    <x v="47"/>
  </r>
  <r>
    <s v="2016年度"/>
    <s v="00000"/>
    <x v="0"/>
    <n v="20251648349"/>
    <n v="1028234054"/>
    <n v="1511960607"/>
    <n v="2540194661"/>
    <x v="48"/>
  </r>
  <r>
    <s v="2016年度"/>
    <s v="01000"/>
    <x v="1"/>
    <n v="673443533"/>
    <n v="99428148"/>
    <n v="56719322"/>
    <n v="156147470"/>
    <x v="49"/>
  </r>
  <r>
    <s v="2016年度"/>
    <s v="02000"/>
    <x v="2"/>
    <n v="163274936"/>
    <n v="24554038"/>
    <n v="11325300"/>
    <n v="35879338"/>
    <x v="50"/>
  </r>
  <r>
    <s v="2016年度"/>
    <s v="03000"/>
    <x v="3"/>
    <n v="153981316"/>
    <n v="23484458"/>
    <n v="24422257"/>
    <n v="47906715"/>
    <x v="51"/>
  </r>
  <r>
    <s v="2016年度"/>
    <s v="04000"/>
    <x v="4"/>
    <n v="331181067"/>
    <n v="27695396"/>
    <n v="40555341"/>
    <n v="68250737"/>
    <x v="52"/>
  </r>
  <r>
    <s v="2016年度"/>
    <s v="05000"/>
    <x v="5"/>
    <n v="111598946"/>
    <n v="20029401"/>
    <n v="13524639"/>
    <n v="33554040"/>
    <x v="53"/>
  </r>
  <r>
    <s v="2016年度"/>
    <s v="06000"/>
    <x v="6"/>
    <n v="126637674"/>
    <n v="15237284"/>
    <n v="14105153"/>
    <n v="29342437"/>
    <x v="54"/>
  </r>
  <r>
    <s v="2016年度"/>
    <s v="07000"/>
    <x v="7"/>
    <n v="265779063"/>
    <n v="60259733"/>
    <n v="468580725"/>
    <n v="528840458"/>
    <x v="55"/>
  </r>
  <r>
    <s v="2016年度"/>
    <s v="08000"/>
    <x v="8"/>
    <n v="394527466"/>
    <n v="10501005"/>
    <n v="18420465"/>
    <n v="28921470"/>
    <x v="56"/>
  </r>
  <r>
    <s v="2016年度"/>
    <s v="09000"/>
    <x v="9"/>
    <n v="279018735"/>
    <n v="12949129"/>
    <n v="12254390"/>
    <n v="25203519"/>
    <x v="57"/>
  </r>
  <r>
    <s v="2016年度"/>
    <n v="10000"/>
    <x v="10"/>
    <n v="281001447"/>
    <n v="12692015"/>
    <n v="10379435"/>
    <n v="23071450"/>
    <x v="58"/>
  </r>
  <r>
    <s v="2016年度"/>
    <n v="11000"/>
    <x v="11"/>
    <n v="864864928"/>
    <n v="8744661"/>
    <n v="26412853"/>
    <n v="35157514"/>
    <x v="59"/>
  </r>
  <r>
    <s v="2016年度"/>
    <n v="12000"/>
    <x v="12"/>
    <n v="788576149"/>
    <n v="23148681"/>
    <n v="38483286"/>
    <n v="61631967"/>
    <x v="60"/>
  </r>
  <r>
    <s v="2016年度"/>
    <n v="13000"/>
    <x v="13"/>
    <n v="5317961378"/>
    <n v="47790495"/>
    <n v="78158399"/>
    <n v="125948894"/>
    <x v="61"/>
  </r>
  <r>
    <s v="2016年度"/>
    <n v="14000"/>
    <x v="14"/>
    <n v="1250484759"/>
    <n v="4288453"/>
    <n v="27642548"/>
    <n v="31931001"/>
    <x v="62"/>
  </r>
  <r>
    <s v="2016年度"/>
    <n v="15000"/>
    <x v="15"/>
    <n v="289349120"/>
    <n v="36751118"/>
    <n v="20851741"/>
    <n v="57602859"/>
    <x v="63"/>
  </r>
  <r>
    <s v="2016年度"/>
    <n v="16000"/>
    <x v="16"/>
    <n v="146579698"/>
    <n v="14502375"/>
    <n v="8902929"/>
    <n v="23405304"/>
    <x v="64"/>
  </r>
  <r>
    <s v="2016年度"/>
    <n v="17000"/>
    <x v="17"/>
    <n v="162424683"/>
    <n v="6663273"/>
    <n v="12325875"/>
    <n v="18989148"/>
    <x v="65"/>
  </r>
  <r>
    <s v="2016年度"/>
    <n v="18000"/>
    <x v="18"/>
    <n v="118724213"/>
    <n v="12975532"/>
    <n v="8730884"/>
    <n v="21706416"/>
    <x v="66"/>
  </r>
  <r>
    <s v="2016年度"/>
    <n v="19000"/>
    <x v="19"/>
    <n v="112700056"/>
    <n v="11468207"/>
    <n v="5452409"/>
    <n v="16920616"/>
    <x v="67"/>
  </r>
  <r>
    <s v="2016年度"/>
    <n v="20000"/>
    <x v="20"/>
    <n v="270140307"/>
    <n v="15472052"/>
    <n v="14087399"/>
    <n v="29559451"/>
    <x v="68"/>
  </r>
  <r>
    <s v="2016年度"/>
    <n v="21000"/>
    <x v="21"/>
    <n v="263523097"/>
    <n v="17387110"/>
    <n v="17041844"/>
    <n v="34428954"/>
    <x v="69"/>
  </r>
  <r>
    <s v="2016年度"/>
    <n v="22000"/>
    <x v="22"/>
    <n v="541659744"/>
    <n v="16945972"/>
    <n v="20952653"/>
    <n v="37898625"/>
    <x v="70"/>
  </r>
  <r>
    <s v="2016年度"/>
    <n v="23000"/>
    <x v="23"/>
    <n v="1274404737"/>
    <n v="19129687"/>
    <n v="26159000"/>
    <n v="45288687"/>
    <x v="71"/>
  </r>
  <r>
    <s v="2016年度"/>
    <n v="24000"/>
    <x v="24"/>
    <n v="252619230"/>
    <n v="12631804"/>
    <n v="13123959"/>
    <n v="25755763"/>
    <x v="72"/>
  </r>
  <r>
    <s v="2016年度"/>
    <n v="25000"/>
    <x v="25"/>
    <n v="182942137"/>
    <n v="5683146"/>
    <n v="11006907"/>
    <n v="16690053"/>
    <x v="73"/>
  </r>
  <r>
    <s v="2016年度"/>
    <n v="26000"/>
    <x v="26"/>
    <n v="327979299"/>
    <n v="16329876"/>
    <n v="17732959"/>
    <n v="34062835"/>
    <x v="74"/>
  </r>
  <r>
    <s v="2016年度"/>
    <n v="27000"/>
    <x v="27"/>
    <n v="1299187863"/>
    <n v="17365943"/>
    <n v="54686043"/>
    <n v="72051986"/>
    <x v="75"/>
  </r>
  <r>
    <s v="2016年度"/>
    <n v="28000"/>
    <x v="28"/>
    <n v="707740537"/>
    <n v="24135538"/>
    <n v="26227977"/>
    <n v="50363515"/>
    <x v="76"/>
  </r>
  <r>
    <s v="2016年度"/>
    <n v="29000"/>
    <x v="29"/>
    <n v="141689963"/>
    <n v="14878213"/>
    <n v="7429283"/>
    <n v="22307496"/>
    <x v="77"/>
  </r>
  <r>
    <s v="2016年度"/>
    <n v="30000"/>
    <x v="30"/>
    <n v="103625983"/>
    <n v="13031262"/>
    <n v="8522830"/>
    <n v="21554092"/>
    <x v="78"/>
  </r>
  <r>
    <s v="2016年度"/>
    <n v="31000"/>
    <x v="31"/>
    <n v="63770491"/>
    <n v="7081395"/>
    <n v="10892603"/>
    <n v="17973998"/>
    <x v="79"/>
  </r>
  <r>
    <s v="2016年度"/>
    <n v="32000"/>
    <x v="32"/>
    <n v="79113551"/>
    <n v="15952930"/>
    <n v="9212918"/>
    <n v="25165848"/>
    <x v="80"/>
  </r>
  <r>
    <s v="2016年度"/>
    <n v="33000"/>
    <x v="33"/>
    <n v="243243057"/>
    <n v="9851716"/>
    <n v="12940311"/>
    <n v="22792027"/>
    <x v="81"/>
  </r>
  <r>
    <s v="2016年度"/>
    <n v="34000"/>
    <x v="34"/>
    <n v="381288350"/>
    <n v="8498320"/>
    <n v="25383786"/>
    <n v="33882106"/>
    <x v="82"/>
  </r>
  <r>
    <s v="2016年度"/>
    <n v="35000"/>
    <x v="35"/>
    <n v="175864550"/>
    <n v="13626481"/>
    <n v="16603205"/>
    <n v="30229686"/>
    <x v="83"/>
  </r>
  <r>
    <s v="2016年度"/>
    <n v="36000"/>
    <x v="36"/>
    <n v="90573033"/>
    <n v="7764081"/>
    <n v="9145001"/>
    <n v="16909082"/>
    <x v="84"/>
  </r>
  <r>
    <s v="2016年度"/>
    <n v="37000"/>
    <x v="37"/>
    <n v="133742317"/>
    <n v="7944678"/>
    <n v="9882421"/>
    <n v="17827099"/>
    <x v="85"/>
  </r>
  <r>
    <s v="2016年度"/>
    <n v="38000"/>
    <x v="38"/>
    <n v="163825915"/>
    <n v="11936247"/>
    <n v="9276995"/>
    <n v="21213242"/>
    <x v="86"/>
  </r>
  <r>
    <s v="2016年度"/>
    <n v="39000"/>
    <x v="39"/>
    <n v="78715881"/>
    <n v="10017397"/>
    <n v="9104876"/>
    <n v="19122273"/>
    <x v="87"/>
  </r>
  <r>
    <s v="2016年度"/>
    <n v="40000"/>
    <x v="40"/>
    <n v="641666275"/>
    <n v="27673128"/>
    <n v="33070738"/>
    <n v="60743866"/>
    <x v="88"/>
  </r>
  <r>
    <s v="2016年度"/>
    <n v="41000"/>
    <x v="41"/>
    <n v="98579363"/>
    <n v="14383007"/>
    <n v="6513154"/>
    <n v="20896161"/>
    <x v="89"/>
  </r>
  <r>
    <s v="2016年度"/>
    <n v="42000"/>
    <x v="42"/>
    <n v="138453866"/>
    <n v="27218034"/>
    <n v="19990879"/>
    <n v="47208913"/>
    <x v="90"/>
  </r>
  <r>
    <s v="2016年度"/>
    <n v="43000"/>
    <x v="43"/>
    <n v="194972264"/>
    <n v="32514997"/>
    <n v="101993373"/>
    <n v="134508370"/>
    <x v="91"/>
  </r>
  <r>
    <s v="2016年度"/>
    <n v="44000"/>
    <x v="44"/>
    <n v="133637906"/>
    <n v="20551734"/>
    <n v="14932454"/>
    <n v="35484188"/>
    <x v="92"/>
  </r>
  <r>
    <s v="2016年度"/>
    <n v="45000"/>
    <x v="45"/>
    <n v="120544893"/>
    <n v="21728652"/>
    <n v="13920621"/>
    <n v="35649273"/>
    <x v="93"/>
  </r>
  <r>
    <s v="2016年度"/>
    <n v="46000"/>
    <x v="46"/>
    <n v="174985019"/>
    <n v="34340403"/>
    <n v="23522433"/>
    <n v="57862836"/>
    <x v="94"/>
  </r>
  <r>
    <s v="2016年度"/>
    <n v="47000"/>
    <x v="47"/>
    <n v="141049554"/>
    <n v="110996849"/>
    <n v="71356034"/>
    <n v="182352883"/>
    <x v="95"/>
  </r>
  <r>
    <s v="2015年度"/>
    <s v="01000"/>
    <x v="1"/>
    <n v="670899468"/>
    <n v="92245199"/>
    <n v="53359568"/>
    <n v="145604767"/>
    <x v="96"/>
  </r>
  <r>
    <s v="2015年度"/>
    <s v="02000"/>
    <x v="2"/>
    <n v="165246712"/>
    <n v="22520705"/>
    <n v="9937647"/>
    <n v="32458352"/>
    <x v="97"/>
  </r>
  <r>
    <s v="2015年度"/>
    <s v="03000"/>
    <x v="3"/>
    <n v="154091605"/>
    <n v="19170217"/>
    <n v="21977669"/>
    <n v="41147886"/>
    <x v="98"/>
  </r>
  <r>
    <s v="2015年度"/>
    <s v="04000"/>
    <x v="4"/>
    <n v="326448386"/>
    <n v="25375673"/>
    <n v="52755730"/>
    <n v="78131403"/>
    <x v="99"/>
  </r>
  <r>
    <s v="2015年度"/>
    <s v="05000"/>
    <x v="5"/>
    <n v="114129098"/>
    <n v="20714983"/>
    <n v="9745810"/>
    <n v="30460793"/>
    <x v="100"/>
  </r>
  <r>
    <s v="2015年度"/>
    <s v="06000"/>
    <x v="6"/>
    <n v="127974330"/>
    <n v="13149278"/>
    <n v="12109113"/>
    <n v="25258391"/>
    <x v="101"/>
  </r>
  <r>
    <s v="2015年度"/>
    <s v="07000"/>
    <x v="7"/>
    <n v="270252864"/>
    <n v="53240340"/>
    <n v="365498160"/>
    <n v="418738500"/>
    <x v="102"/>
  </r>
  <r>
    <s v="2015年度"/>
    <s v="08000"/>
    <x v="8"/>
    <n v="395375795"/>
    <n v="10287476"/>
    <n v="15056152"/>
    <n v="25343628"/>
    <x v="103"/>
  </r>
  <r>
    <s v="2015年度"/>
    <s v="09000"/>
    <x v="9"/>
    <n v="287156687"/>
    <n v="13385720"/>
    <n v="12636076"/>
    <n v="26021796"/>
    <x v="104"/>
  </r>
  <r>
    <s v="2015年度"/>
    <n v="10000"/>
    <x v="10"/>
    <n v="278320270"/>
    <n v="9763672"/>
    <n v="19257347"/>
    <n v="29021019"/>
    <x v="105"/>
  </r>
  <r>
    <s v="2015年度"/>
    <n v="11000"/>
    <x v="11"/>
    <n v="868873037"/>
    <n v="6827695"/>
    <n v="24632066"/>
    <n v="31459761"/>
    <x v="106"/>
  </r>
  <r>
    <s v="2015年度"/>
    <n v="12000"/>
    <x v="12"/>
    <n v="781514079"/>
    <n v="21440498"/>
    <n v="41725762"/>
    <n v="63166260"/>
    <x v="107"/>
  </r>
  <r>
    <s v="2015年度"/>
    <n v="13000"/>
    <x v="13"/>
    <n v="5162436445"/>
    <n v="43347037"/>
    <n v="99534066"/>
    <n v="142881103"/>
    <x v="108"/>
  </r>
  <r>
    <s v="2015年度"/>
    <n v="14000"/>
    <x v="14"/>
    <n v="1253326163"/>
    <n v="6490604"/>
    <n v="30396382"/>
    <n v="36886986"/>
    <x v="109"/>
  </r>
  <r>
    <s v="2015年度"/>
    <n v="15000"/>
    <x v="15"/>
    <n v="296536246"/>
    <n v="34302287"/>
    <n v="21700588"/>
    <n v="56002875"/>
    <x v="110"/>
  </r>
  <r>
    <s v="2015年度"/>
    <n v="16000"/>
    <x v="16"/>
    <n v="148194804"/>
    <n v="11165227"/>
    <n v="9355562"/>
    <n v="20520789"/>
    <x v="111"/>
  </r>
  <r>
    <s v="2015年度"/>
    <n v="17000"/>
    <x v="17"/>
    <n v="161765785"/>
    <n v="6665476"/>
    <n v="12717855"/>
    <n v="19383331"/>
    <x v="112"/>
  </r>
  <r>
    <s v="2015年度"/>
    <n v="18000"/>
    <x v="18"/>
    <n v="121280152"/>
    <n v="12866650"/>
    <n v="10805114"/>
    <n v="23671764"/>
    <x v="113"/>
  </r>
  <r>
    <s v="2015年度"/>
    <n v="19000"/>
    <x v="19"/>
    <n v="118973609"/>
    <n v="14528074"/>
    <n v="5332467"/>
    <n v="19860541"/>
    <x v="114"/>
  </r>
  <r>
    <s v="2015年度"/>
    <n v="20000"/>
    <x v="20"/>
    <n v="275555202"/>
    <n v="16905251"/>
    <n v="13300855"/>
    <n v="30206106"/>
    <x v="115"/>
  </r>
  <r>
    <s v="2015年度"/>
    <n v="21000"/>
    <x v="21"/>
    <n v="267335306"/>
    <n v="19460945"/>
    <n v="15010348"/>
    <n v="34471293"/>
    <x v="116"/>
  </r>
  <r>
    <s v="2015年度"/>
    <n v="22000"/>
    <x v="22"/>
    <n v="551368939"/>
    <n v="12953018"/>
    <n v="21696756"/>
    <n v="34649774"/>
    <x v="117"/>
  </r>
  <r>
    <s v="2015年度"/>
    <n v="23000"/>
    <x v="23"/>
    <n v="1260276670"/>
    <n v="15914468"/>
    <n v="29456237"/>
    <n v="45370705"/>
    <x v="118"/>
  </r>
  <r>
    <s v="2015年度"/>
    <n v="24000"/>
    <x v="24"/>
    <n v="250283662"/>
    <n v="10382827"/>
    <n v="10671068"/>
    <n v="21053895"/>
    <x v="119"/>
  </r>
  <r>
    <s v="2015年度"/>
    <n v="25000"/>
    <x v="25"/>
    <n v="183436338"/>
    <n v="5485595"/>
    <n v="10250187"/>
    <n v="15735782"/>
    <x v="120"/>
  </r>
  <r>
    <s v="2015年度"/>
    <n v="26000"/>
    <x v="26"/>
    <n v="337877101"/>
    <n v="7932860"/>
    <n v="17449066"/>
    <n v="25381926"/>
    <x v="121"/>
  </r>
  <r>
    <s v="2015年度"/>
    <n v="27000"/>
    <x v="27"/>
    <n v="1284042365"/>
    <n v="14326376"/>
    <n v="44979002"/>
    <n v="59305378"/>
    <x v="122"/>
  </r>
  <r>
    <s v="2015年度"/>
    <n v="28000"/>
    <x v="28"/>
    <n v="714336564"/>
    <n v="25042394"/>
    <n v="30620070"/>
    <n v="55662464"/>
    <x v="123"/>
  </r>
  <r>
    <s v="2015年度"/>
    <n v="29000"/>
    <x v="29"/>
    <n v="147351026"/>
    <n v="16437022"/>
    <n v="8038207"/>
    <n v="24475229"/>
    <x v="124"/>
  </r>
  <r>
    <s v="2015年度"/>
    <n v="30000"/>
    <x v="30"/>
    <n v="107187656"/>
    <n v="13201491"/>
    <n v="7590343"/>
    <n v="20791834"/>
    <x v="125"/>
  </r>
  <r>
    <s v="2015年度"/>
    <n v="31000"/>
    <x v="31"/>
    <n v="64475608"/>
    <n v="6482300"/>
    <n v="10530917"/>
    <n v="17013217"/>
    <x v="126"/>
  </r>
  <r>
    <s v="2015年度"/>
    <n v="32000"/>
    <x v="32"/>
    <n v="80873093"/>
    <n v="15407993"/>
    <n v="10935520"/>
    <n v="26343513"/>
    <x v="127"/>
  </r>
  <r>
    <s v="2015年度"/>
    <n v="33000"/>
    <x v="33"/>
    <n v="243358052"/>
    <n v="11543025"/>
    <n v="12138240"/>
    <n v="23681265"/>
    <x v="128"/>
  </r>
  <r>
    <s v="2015年度"/>
    <n v="34000"/>
    <x v="34"/>
    <n v="380256383"/>
    <n v="10523582"/>
    <n v="26111579"/>
    <n v="36635161"/>
    <x v="129"/>
  </r>
  <r>
    <s v="2015年度"/>
    <n v="35000"/>
    <x v="35"/>
    <n v="174358043"/>
    <n v="13455479"/>
    <n v="17726948"/>
    <n v="31182427"/>
    <x v="130"/>
  </r>
  <r>
    <s v="2015年度"/>
    <n v="36000"/>
    <x v="36"/>
    <n v="93452969"/>
    <n v="9478371"/>
    <n v="8728916"/>
    <n v="18207287"/>
    <x v="131"/>
  </r>
  <r>
    <s v="2015年度"/>
    <n v="37000"/>
    <x v="37"/>
    <n v="134925315"/>
    <n v="4039056"/>
    <n v="12645330"/>
    <n v="16684386"/>
    <x v="132"/>
  </r>
  <r>
    <s v="2015年度"/>
    <n v="38000"/>
    <x v="38"/>
    <n v="163947441"/>
    <n v="11701205"/>
    <n v="10747308"/>
    <n v="22448513"/>
    <x v="133"/>
  </r>
  <r>
    <s v="2015年度"/>
    <n v="39000"/>
    <x v="39"/>
    <n v="79864463"/>
    <n v="14439208"/>
    <n v="8844412"/>
    <n v="23283620"/>
    <x v="134"/>
  </r>
  <r>
    <s v="2015年度"/>
    <n v="40000"/>
    <x v="40"/>
    <n v="640727843"/>
    <n v="29985741"/>
    <n v="35490674"/>
    <n v="65476415"/>
    <x v="135"/>
  </r>
  <r>
    <s v="2015年度"/>
    <n v="41000"/>
    <x v="41"/>
    <n v="99765895"/>
    <n v="13050149"/>
    <n v="6295532"/>
    <n v="19345681"/>
    <x v="136"/>
  </r>
  <r>
    <s v="2015年度"/>
    <n v="42000"/>
    <x v="42"/>
    <n v="141947512"/>
    <n v="26512519"/>
    <n v="19105076"/>
    <n v="45617595"/>
    <x v="137"/>
  </r>
  <r>
    <s v="2015年度"/>
    <n v="43000"/>
    <x v="43"/>
    <n v="197713241"/>
    <n v="30268762"/>
    <n v="22725248"/>
    <n v="52994010"/>
    <x v="138"/>
  </r>
  <r>
    <s v="2015年度"/>
    <n v="44000"/>
    <x v="44"/>
    <n v="132030549"/>
    <n v="22459192"/>
    <n v="8104166"/>
    <n v="30563358"/>
    <x v="139"/>
  </r>
  <r>
    <s v="2015年度"/>
    <n v="45000"/>
    <x v="45"/>
    <n v="121153990"/>
    <n v="28761889"/>
    <n v="5693428"/>
    <n v="34455317"/>
    <x v="140"/>
  </r>
  <r>
    <s v="2015年度"/>
    <n v="46000"/>
    <x v="46"/>
    <n v="175527046"/>
    <n v="37261047"/>
    <n v="18299732"/>
    <n v="55560779"/>
    <x v="141"/>
  </r>
  <r>
    <s v="2015年度"/>
    <n v="47000"/>
    <x v="47"/>
    <n v="136370037"/>
    <n v="115022269"/>
    <n v="70875103"/>
    <n v="185897372"/>
    <x v="142"/>
  </r>
  <r>
    <s v="2014年度"/>
    <s v="00000"/>
    <x v="0"/>
    <n v="17793999837"/>
    <n v="1032311799"/>
    <n v="1349761275"/>
    <n v="2382073074"/>
    <x v="143"/>
  </r>
  <r>
    <s v="2014年度"/>
    <s v="01000"/>
    <x v="1"/>
    <n v="581251559"/>
    <n v="92336450"/>
    <n v="40200071"/>
    <n v="132536521"/>
    <x v="144"/>
  </r>
  <r>
    <s v="2014年度"/>
    <s v="02000"/>
    <x v="2"/>
    <n v="143648533"/>
    <n v="26229321"/>
    <n v="11586553"/>
    <n v="37815874"/>
    <x v="145"/>
  </r>
  <r>
    <s v="2014年度"/>
    <s v="03000"/>
    <x v="3"/>
    <n v="132910656"/>
    <n v="21930809"/>
    <n v="16523311"/>
    <n v="38454120"/>
    <x v="146"/>
  </r>
  <r>
    <s v="2014年度"/>
    <s v="04000"/>
    <x v="4"/>
    <n v="284755852"/>
    <n v="26904253"/>
    <n v="53111347"/>
    <n v="80015600"/>
    <x v="147"/>
  </r>
  <r>
    <s v="2014年度"/>
    <s v="05000"/>
    <x v="5"/>
    <n v="97341166"/>
    <n v="17879227"/>
    <n v="8063669"/>
    <n v="25942896"/>
    <x v="148"/>
  </r>
  <r>
    <s v="2014年度"/>
    <s v="06000"/>
    <x v="6"/>
    <n v="110063353"/>
    <n v="13231249"/>
    <n v="8345625"/>
    <n v="21576874"/>
    <x v="149"/>
  </r>
  <r>
    <s v="2014年度"/>
    <s v="07000"/>
    <x v="7"/>
    <n v="230337979"/>
    <n v="49216757"/>
    <n v="399682546"/>
    <n v="448899303"/>
    <x v="150"/>
  </r>
  <r>
    <s v="2014年度"/>
    <s v="08000"/>
    <x v="8"/>
    <n v="352262507"/>
    <n v="10508916"/>
    <n v="16924123"/>
    <n v="27433039"/>
    <x v="151"/>
  </r>
  <r>
    <s v="2014年度"/>
    <s v="09000"/>
    <x v="9"/>
    <n v="250751120"/>
    <n v="10420886"/>
    <n v="16709051"/>
    <n v="27129937"/>
    <x v="152"/>
  </r>
  <r>
    <s v="2014年度"/>
    <n v="10000"/>
    <x v="10"/>
    <n v="244282776"/>
    <n v="10508650"/>
    <n v="12019437"/>
    <n v="22528087"/>
    <x v="153"/>
  </r>
  <r>
    <s v="2014年度"/>
    <n v="11000"/>
    <x v="11"/>
    <n v="761436427"/>
    <n v="5973669"/>
    <n v="35071006"/>
    <n v="41044675"/>
    <x v="154"/>
  </r>
  <r>
    <s v="2014年度"/>
    <n v="12000"/>
    <x v="12"/>
    <n v="711451072"/>
    <n v="21602889"/>
    <n v="43146500"/>
    <n v="64749389"/>
    <x v="155"/>
  </r>
  <r>
    <s v="2014年度"/>
    <n v="13000"/>
    <x v="13"/>
    <n v="4734915193"/>
    <n v="49472268"/>
    <n v="92858532"/>
    <n v="142330800"/>
    <x v="156"/>
  </r>
  <r>
    <s v="2014年度"/>
    <n v="14000"/>
    <x v="14"/>
    <n v="1110111593"/>
    <n v="4240676"/>
    <n v="47381002"/>
    <n v="51621678"/>
    <x v="157"/>
  </r>
  <r>
    <s v="2014年度"/>
    <n v="15000"/>
    <x v="15"/>
    <n v="256931757"/>
    <n v="38205779"/>
    <n v="24072197"/>
    <n v="62277976"/>
    <x v="158"/>
  </r>
  <r>
    <s v="2014年度"/>
    <n v="16000"/>
    <x v="16"/>
    <n v="129068731"/>
    <n v="11864107"/>
    <n v="7470237"/>
    <n v="19334344"/>
    <x v="159"/>
  </r>
  <r>
    <s v="2014年度"/>
    <n v="17000"/>
    <x v="17"/>
    <n v="139911977"/>
    <n v="11075719"/>
    <n v="11026538"/>
    <n v="22102257"/>
    <x v="160"/>
  </r>
  <r>
    <s v="2014年度"/>
    <n v="18000"/>
    <x v="18"/>
    <n v="101975814"/>
    <n v="12516460"/>
    <n v="8247843"/>
    <n v="20764303"/>
    <x v="161"/>
  </r>
  <r>
    <s v="2014年度"/>
    <n v="19000"/>
    <x v="19"/>
    <n v="97854038"/>
    <n v="15918770"/>
    <n v="5027952"/>
    <n v="20946722"/>
    <x v="162"/>
  </r>
  <r>
    <s v="2014年度"/>
    <n v="20000"/>
    <x v="20"/>
    <n v="234577201"/>
    <n v="21275597"/>
    <n v="11333838"/>
    <n v="32609435"/>
    <x v="163"/>
  </r>
  <r>
    <s v="2014年度"/>
    <n v="21000"/>
    <x v="21"/>
    <n v="226996898"/>
    <n v="19488253"/>
    <n v="8744582"/>
    <n v="28232835"/>
    <x v="164"/>
  </r>
  <r>
    <s v="2014年度"/>
    <n v="22000"/>
    <x v="22"/>
    <n v="487421132"/>
    <n v="16188214"/>
    <n v="20287218"/>
    <n v="36475432"/>
    <x v="165"/>
  </r>
  <r>
    <s v="2014年度"/>
    <n v="23000"/>
    <x v="23"/>
    <n v="1139934861"/>
    <n v="19277853"/>
    <n v="19504488"/>
    <n v="38782341"/>
    <x v="166"/>
  </r>
  <r>
    <s v="2014年度"/>
    <n v="24000"/>
    <x v="24"/>
    <n v="226757270"/>
    <n v="11457475"/>
    <n v="10862185"/>
    <n v="22319660"/>
    <x v="167"/>
  </r>
  <r>
    <s v="2014年度"/>
    <n v="25000"/>
    <x v="25"/>
    <n v="161414568"/>
    <n v="6370931"/>
    <n v="10408455"/>
    <n v="16779386"/>
    <x v="168"/>
  </r>
  <r>
    <s v="2014年度"/>
    <n v="26000"/>
    <x v="26"/>
    <n v="285135289"/>
    <n v="7275817"/>
    <n v="28116388"/>
    <n v="35392205"/>
    <x v="169"/>
  </r>
  <r>
    <s v="2014年度"/>
    <n v="27000"/>
    <x v="27"/>
    <n v="1100318955"/>
    <n v="9359164"/>
    <n v="46996427"/>
    <n v="56355591"/>
    <x v="170"/>
  </r>
  <r>
    <s v="2014年度"/>
    <n v="28000"/>
    <x v="28"/>
    <n v="631351474"/>
    <n v="25657647"/>
    <n v="21958610"/>
    <n v="47616257"/>
    <x v="171"/>
  </r>
  <r>
    <s v="2014年度"/>
    <n v="29000"/>
    <x v="29"/>
    <n v="126002676"/>
    <n v="13661996"/>
    <n v="8025805"/>
    <n v="21687801"/>
    <x v="172"/>
  </r>
  <r>
    <s v="2014年度"/>
    <n v="30000"/>
    <x v="30"/>
    <n v="92987827"/>
    <n v="15718096"/>
    <n v="8943262"/>
    <n v="24661358"/>
    <x v="173"/>
  </r>
  <r>
    <s v="2014年度"/>
    <n v="31000"/>
    <x v="31"/>
    <n v="55213098"/>
    <n v="9627739"/>
    <n v="7811412"/>
    <n v="17439151"/>
    <x v="174"/>
  </r>
  <r>
    <s v="2014年度"/>
    <n v="32000"/>
    <x v="32"/>
    <n v="68429128"/>
    <n v="18175872"/>
    <n v="10937489"/>
    <n v="29113361"/>
    <x v="175"/>
  </r>
  <r>
    <s v="2014年度"/>
    <n v="33000"/>
    <x v="33"/>
    <n v="211906439"/>
    <n v="11052706"/>
    <n v="12425521"/>
    <n v="23478227"/>
    <x v="176"/>
  </r>
  <r>
    <s v="2014年度"/>
    <n v="34000"/>
    <x v="34"/>
    <n v="324264301"/>
    <n v="9335518"/>
    <n v="25461398"/>
    <n v="34796916"/>
    <x v="177"/>
  </r>
  <r>
    <s v="2014年度"/>
    <n v="35000"/>
    <x v="35"/>
    <n v="150927266"/>
    <n v="13626259"/>
    <n v="14617109"/>
    <n v="28243368"/>
    <x v="178"/>
  </r>
  <r>
    <s v="2014年度"/>
    <n v="36000"/>
    <x v="36"/>
    <n v="84980791"/>
    <n v="10912672"/>
    <n v="9071673"/>
    <n v="19984345"/>
    <x v="179"/>
  </r>
  <r>
    <s v="2014年度"/>
    <n v="37000"/>
    <x v="37"/>
    <n v="115885799"/>
    <n v="8354931"/>
    <n v="9092309"/>
    <n v="17447240"/>
    <x v="180"/>
  </r>
  <r>
    <s v="2014年度"/>
    <n v="38000"/>
    <x v="38"/>
    <n v="138309905"/>
    <n v="11958895"/>
    <n v="7113807"/>
    <n v="19072702"/>
    <x v="181"/>
  </r>
  <r>
    <s v="2014年度"/>
    <n v="39000"/>
    <x v="39"/>
    <n v="66780454"/>
    <n v="10912268"/>
    <n v="8189042"/>
    <n v="19101310"/>
    <x v="182"/>
  </r>
  <r>
    <s v="2014年度"/>
    <n v="40000"/>
    <x v="40"/>
    <n v="551620958"/>
    <n v="30294436"/>
    <n v="29843515"/>
    <n v="60137951"/>
    <x v="183"/>
  </r>
  <r>
    <s v="2014年度"/>
    <n v="41000"/>
    <x v="41"/>
    <n v="86107625"/>
    <n v="14742969"/>
    <n v="5297345"/>
    <n v="20040314"/>
    <x v="184"/>
  </r>
  <r>
    <s v="2014年度"/>
    <n v="42000"/>
    <x v="42"/>
    <n v="118455494"/>
    <n v="28153809"/>
    <n v="17380130"/>
    <n v="45533939"/>
    <x v="185"/>
  </r>
  <r>
    <s v="2014年度"/>
    <n v="43000"/>
    <x v="43"/>
    <n v="166642145"/>
    <n v="35512026"/>
    <n v="24387538"/>
    <n v="59899564"/>
    <x v="186"/>
  </r>
  <r>
    <s v="2014年度"/>
    <n v="44000"/>
    <x v="44"/>
    <n v="112854921"/>
    <n v="21362598"/>
    <n v="11306311"/>
    <n v="32668909"/>
    <x v="187"/>
  </r>
  <r>
    <s v="2014年度"/>
    <n v="45000"/>
    <x v="45"/>
    <n v="101074266"/>
    <n v="26727219"/>
    <n v="11051299"/>
    <n v="37778518"/>
    <x v="188"/>
  </r>
  <r>
    <s v="2014年度"/>
    <n v="46000"/>
    <x v="46"/>
    <n v="144491640"/>
    <n v="39268716"/>
    <n v="16361156"/>
    <n v="55629872"/>
    <x v="189"/>
  </r>
  <r>
    <s v="2014年度"/>
    <n v="47000"/>
    <x v="47"/>
    <n v="111895353"/>
    <n v="116525268"/>
    <n v="76765423"/>
    <n v="193290691"/>
    <x v="190"/>
  </r>
  <r>
    <s v="2013年度"/>
    <s v="00000"/>
    <x v="0"/>
    <n v="16809190048"/>
    <n v="1159067242"/>
    <n v="1483153711"/>
    <n v="2642220953"/>
    <x v="191"/>
  </r>
  <r>
    <s v="2013年度"/>
    <s v="01000"/>
    <x v="1"/>
    <n v="554177754"/>
    <n v="99023884"/>
    <n v="51482737"/>
    <n v="150506621"/>
    <x v="192"/>
  </r>
  <r>
    <s v="2013年度"/>
    <s v="02000"/>
    <x v="2"/>
    <n v="135733432"/>
    <n v="29132287"/>
    <n v="17021139"/>
    <n v="46153426"/>
    <x v="193"/>
  </r>
  <r>
    <s v="2013年度"/>
    <s v="03000"/>
    <x v="3"/>
    <n v="124914344"/>
    <n v="23151537"/>
    <n v="31367581"/>
    <n v="54519118"/>
    <x v="194"/>
  </r>
  <r>
    <s v="2013年度"/>
    <s v="04000"/>
    <x v="4"/>
    <n v="266347792"/>
    <n v="27056138"/>
    <n v="106307552"/>
    <n v="133363690"/>
    <x v="195"/>
  </r>
  <r>
    <s v="2013年度"/>
    <s v="05000"/>
    <x v="5"/>
    <n v="93158795"/>
    <n v="25428763"/>
    <n v="9794901"/>
    <n v="35223664"/>
    <x v="196"/>
  </r>
  <r>
    <s v="2013年度"/>
    <s v="06000"/>
    <x v="6"/>
    <n v="104543928"/>
    <n v="15857933"/>
    <n v="11499410"/>
    <n v="27357343"/>
    <x v="197"/>
  </r>
  <r>
    <s v="2013年度"/>
    <s v="07000"/>
    <x v="7"/>
    <n v="214130227"/>
    <n v="49016125"/>
    <n v="369180294"/>
    <n v="418196419"/>
    <x v="198"/>
  </r>
  <r>
    <s v="2013年度"/>
    <s v="08000"/>
    <x v="8"/>
    <n v="336148906"/>
    <n v="14388667"/>
    <n v="16885054"/>
    <n v="31273721"/>
    <x v="199"/>
  </r>
  <r>
    <s v="2013年度"/>
    <s v="09000"/>
    <x v="9"/>
    <n v="235507446"/>
    <n v="14143127"/>
    <n v="14199393"/>
    <n v="28342520"/>
    <x v="200"/>
  </r>
  <r>
    <s v="2013年度"/>
    <n v="10000"/>
    <x v="10"/>
    <n v="219213339"/>
    <n v="13856708"/>
    <n v="12187242"/>
    <n v="26043950"/>
    <x v="201"/>
  </r>
  <r>
    <s v="2013年度"/>
    <n v="11000"/>
    <x v="11"/>
    <n v="724133899"/>
    <n v="29537259"/>
    <n v="2109641"/>
    <n v="31646900"/>
    <x v="202"/>
  </r>
  <r>
    <s v="2013年度"/>
    <n v="12000"/>
    <x v="12"/>
    <n v="672676818"/>
    <n v="24583361"/>
    <n v="45020164"/>
    <n v="69603525"/>
    <x v="203"/>
  </r>
  <r>
    <s v="2013年度"/>
    <n v="13000"/>
    <x v="13"/>
    <n v="4534213943"/>
    <n v="41255533"/>
    <n v="89336192"/>
    <n v="130591725"/>
    <x v="204"/>
  </r>
  <r>
    <s v="2013年度"/>
    <n v="14000"/>
    <x v="14"/>
    <n v="1059232892"/>
    <n v="4065797"/>
    <n v="26899522"/>
    <n v="30965319"/>
    <x v="205"/>
  </r>
  <r>
    <s v="2013年度"/>
    <n v="15000"/>
    <x v="15"/>
    <n v="244600589"/>
    <n v="46871998"/>
    <n v="23351509"/>
    <n v="70223507"/>
    <x v="206"/>
  </r>
  <r>
    <s v="2013年度"/>
    <n v="16000"/>
    <x v="16"/>
    <n v="121596919"/>
    <n v="16623456"/>
    <n v="9598502"/>
    <n v="26221958"/>
    <x v="207"/>
  </r>
  <r>
    <s v="2013年度"/>
    <n v="17000"/>
    <x v="17"/>
    <n v="130912018"/>
    <n v="13830591"/>
    <n v="13771730"/>
    <n v="27602321"/>
    <x v="208"/>
  </r>
  <r>
    <s v="2013年度"/>
    <n v="18000"/>
    <x v="18"/>
    <n v="97154532"/>
    <n v="12111121"/>
    <n v="12365092"/>
    <n v="24476213"/>
    <x v="209"/>
  </r>
  <r>
    <s v="2013年度"/>
    <n v="19000"/>
    <x v="19"/>
    <n v="92513619"/>
    <n v="20544459"/>
    <n v="6476145"/>
    <n v="27020604"/>
    <x v="210"/>
  </r>
  <r>
    <s v="2013年度"/>
    <n v="20000"/>
    <x v="20"/>
    <n v="219792750"/>
    <n v="19651624"/>
    <n v="19954305"/>
    <n v="39605929"/>
    <x v="211"/>
  </r>
  <r>
    <s v="2013年度"/>
    <n v="21000"/>
    <x v="21"/>
    <n v="218874954"/>
    <n v="21724632"/>
    <n v="22487918"/>
    <n v="44212550"/>
    <x v="212"/>
  </r>
  <r>
    <s v="2013年度"/>
    <n v="22000"/>
    <x v="22"/>
    <n v="453521219"/>
    <n v="20936098"/>
    <n v="20190943"/>
    <n v="41127041"/>
    <x v="213"/>
  </r>
  <r>
    <s v="2013年度"/>
    <n v="23000"/>
    <x v="23"/>
    <n v="997617641"/>
    <n v="22605577"/>
    <n v="27384266"/>
    <n v="49989843"/>
    <x v="214"/>
  </r>
  <r>
    <s v="2013年度"/>
    <n v="24000"/>
    <x v="24"/>
    <n v="216303181"/>
    <n v="16055916"/>
    <n v="13398171"/>
    <n v="29454087"/>
    <x v="215"/>
  </r>
  <r>
    <s v="2013年度"/>
    <n v="25000"/>
    <x v="25"/>
    <n v="151946203"/>
    <n v="9060410"/>
    <n v="8722617"/>
    <n v="17783027"/>
    <x v="216"/>
  </r>
  <r>
    <s v="2013年度"/>
    <n v="26000"/>
    <x v="26"/>
    <n v="267774369"/>
    <n v="10412114"/>
    <n v="18380356"/>
    <n v="28792470"/>
    <x v="217"/>
  </r>
  <r>
    <s v="2013年度"/>
    <n v="27000"/>
    <x v="27"/>
    <n v="1044208920"/>
    <n v="8591014"/>
    <n v="49033681"/>
    <n v="57624695"/>
    <x v="218"/>
  </r>
  <r>
    <s v="2013年度"/>
    <n v="28000"/>
    <x v="28"/>
    <n v="591529758"/>
    <n v="32323999"/>
    <n v="35138441"/>
    <n v="67462440"/>
    <x v="219"/>
  </r>
  <r>
    <s v="2013年度"/>
    <n v="29000"/>
    <x v="29"/>
    <n v="121249197"/>
    <n v="12128110"/>
    <n v="8300521"/>
    <n v="20428631"/>
    <x v="220"/>
  </r>
  <r>
    <s v="2013年度"/>
    <n v="30000"/>
    <x v="30"/>
    <n v="89209755"/>
    <n v="19973454"/>
    <n v="7586668"/>
    <n v="27560122"/>
    <x v="221"/>
  </r>
  <r>
    <s v="2013年度"/>
    <n v="31000"/>
    <x v="31"/>
    <n v="52316154"/>
    <n v="2656268"/>
    <n v="16613393"/>
    <n v="19269661"/>
    <x v="222"/>
  </r>
  <r>
    <s v="2013年度"/>
    <n v="32000"/>
    <x v="32"/>
    <n v="63794338"/>
    <n v="18939290"/>
    <n v="11595152"/>
    <n v="30534442"/>
    <x v="223"/>
  </r>
  <r>
    <s v="2013年度"/>
    <n v="33000"/>
    <x v="33"/>
    <n v="200690770"/>
    <n v="15140661"/>
    <n v="15431197"/>
    <n v="30571858"/>
    <x v="224"/>
  </r>
  <r>
    <s v="2013年度"/>
    <n v="34000"/>
    <x v="34"/>
    <n v="308657792"/>
    <n v="9357711"/>
    <n v="38063966"/>
    <n v="47421677"/>
    <x v="225"/>
  </r>
  <r>
    <s v="2013年度"/>
    <n v="35000"/>
    <x v="35"/>
    <n v="148635663"/>
    <n v="19397974"/>
    <n v="13257417"/>
    <n v="32655391"/>
    <x v="226"/>
  </r>
  <r>
    <s v="2013年度"/>
    <n v="36000"/>
    <x v="36"/>
    <n v="80225361"/>
    <n v="13300911"/>
    <n v="11116390"/>
    <n v="24417301"/>
    <x v="227"/>
  </r>
  <r>
    <s v="2013年度"/>
    <n v="37000"/>
    <x v="37"/>
    <n v="110731007"/>
    <n v="4154006"/>
    <n v="15910452"/>
    <n v="20064458"/>
    <x v="228"/>
  </r>
  <r>
    <s v="2013年度"/>
    <n v="38000"/>
    <x v="38"/>
    <n v="133718027"/>
    <n v="13775231"/>
    <n v="13682932"/>
    <n v="27458163"/>
    <x v="229"/>
  </r>
  <r>
    <s v="2013年度"/>
    <n v="39000"/>
    <x v="39"/>
    <n v="61888515"/>
    <n v="12507277"/>
    <n v="14371953"/>
    <n v="26879230"/>
    <x v="230"/>
  </r>
  <r>
    <s v="2013年度"/>
    <n v="40000"/>
    <x v="40"/>
    <n v="521460824"/>
    <n v="26292647"/>
    <n v="37690531"/>
    <n v="63983178"/>
    <x v="231"/>
  </r>
  <r>
    <s v="2013年度"/>
    <n v="41000"/>
    <x v="41"/>
    <n v="80323513"/>
    <n v="12785589"/>
    <n v="20434807"/>
    <n v="33220396"/>
    <x v="232"/>
  </r>
  <r>
    <s v="2013年度"/>
    <n v="42000"/>
    <x v="42"/>
    <n v="111527157"/>
    <n v="32282135"/>
    <n v="19219630"/>
    <n v="51501765"/>
    <x v="233"/>
  </r>
  <r>
    <s v="2013年度"/>
    <n v="43000"/>
    <x v="43"/>
    <n v="156262746"/>
    <n v="46441481"/>
    <n v="27711402"/>
    <n v="74152883"/>
    <x v="234"/>
  </r>
  <r>
    <s v="2013年度"/>
    <n v="44000"/>
    <x v="44"/>
    <n v="108192519"/>
    <n v="22732012"/>
    <n v="15196925"/>
    <n v="37928937"/>
    <x v="235"/>
  </r>
  <r>
    <s v="2013年度"/>
    <n v="45000"/>
    <x v="45"/>
    <n v="95068089"/>
    <n v="46750819"/>
    <n v="1466989"/>
    <n v="48217808"/>
    <x v="236"/>
  </r>
  <r>
    <s v="2013年度"/>
    <n v="46000"/>
    <x v="46"/>
    <n v="138256103"/>
    <n v="39939806"/>
    <n v="30852770"/>
    <n v="70792576"/>
    <x v="237"/>
  </r>
  <r>
    <s v="2013年度"/>
    <n v="47000"/>
    <x v="47"/>
    <n v="104502331"/>
    <n v="108671732"/>
    <n v="81106118"/>
    <n v="189777850"/>
    <x v="238"/>
  </r>
  <r>
    <s v="2012年度"/>
    <s v="00000"/>
    <x v="0"/>
    <n v="16116741669"/>
    <n v="773668181"/>
    <n v="1536428035"/>
    <n v="2310096216"/>
    <x v="239"/>
  </r>
  <r>
    <s v="2012年度"/>
    <s v="01000"/>
    <x v="1"/>
    <n v="540195804"/>
    <n v="84951519"/>
    <n v="58290309"/>
    <n v="143241828"/>
    <x v="240"/>
  </r>
  <r>
    <s v="2012年度"/>
    <s v="02000"/>
    <x v="2"/>
    <n v="135906352"/>
    <n v="17442494"/>
    <n v="19779361"/>
    <n v="37221855"/>
    <x v="241"/>
  </r>
  <r>
    <s v="2012年度"/>
    <s v="03000"/>
    <x v="3"/>
    <n v="121952251"/>
    <n v="15341300"/>
    <n v="48425807"/>
    <n v="63767107"/>
    <x v="242"/>
  </r>
  <r>
    <s v="2012年度"/>
    <s v="04000"/>
    <x v="4"/>
    <n v="257812358"/>
    <n v="30026027"/>
    <n v="174153314"/>
    <n v="204179341"/>
    <x v="243"/>
  </r>
  <r>
    <s v="2012年度"/>
    <s v="05000"/>
    <x v="5"/>
    <n v="90512168"/>
    <n v="13182524"/>
    <n v="13027889"/>
    <n v="26210413"/>
    <x v="244"/>
  </r>
  <r>
    <s v="2012年度"/>
    <s v="06000"/>
    <x v="6"/>
    <n v="104201981"/>
    <n v="5271091"/>
    <n v="17934323"/>
    <n v="23205414"/>
    <x v="245"/>
  </r>
  <r>
    <s v="2012年度"/>
    <s v="07000"/>
    <x v="7"/>
    <n v="204231226"/>
    <n v="50672401"/>
    <n v="302188320"/>
    <n v="352860721"/>
    <x v="246"/>
  </r>
  <r>
    <s v="2012年度"/>
    <s v="08000"/>
    <x v="8"/>
    <n v="332809343"/>
    <n v="6503564"/>
    <n v="29970869"/>
    <n v="36474433"/>
    <x v="247"/>
  </r>
  <r>
    <s v="2012年度"/>
    <s v="09000"/>
    <x v="9"/>
    <n v="228209798"/>
    <n v="7216279"/>
    <n v="22776755"/>
    <n v="29993034"/>
    <x v="248"/>
  </r>
  <r>
    <s v="2012年度"/>
    <n v="10000"/>
    <x v="10"/>
    <n v="213281750"/>
    <n v="4882540"/>
    <n v="15189309"/>
    <n v="20071849"/>
    <x v="249"/>
  </r>
  <r>
    <s v="2012年度"/>
    <n v="11000"/>
    <x v="11"/>
    <n v="711642205"/>
    <n v="23388488"/>
    <n v="10249771"/>
    <n v="33638259"/>
    <x v="250"/>
  </r>
  <r>
    <s v="2012年度"/>
    <n v="12000"/>
    <x v="12"/>
    <n v="638178913"/>
    <n v="20614216"/>
    <n v="50031542"/>
    <n v="70645758"/>
    <x v="251"/>
  </r>
  <r>
    <s v="2012年度"/>
    <n v="13000"/>
    <x v="13"/>
    <n v="4257081520"/>
    <n v="35963710"/>
    <n v="74001364"/>
    <n v="109965074"/>
    <x v="252"/>
  </r>
  <r>
    <s v="2012年度"/>
    <n v="14000"/>
    <x v="14"/>
    <n v="1017495342"/>
    <n v="4722096"/>
    <n v="32111516"/>
    <n v="36833612"/>
    <x v="253"/>
  </r>
  <r>
    <s v="2012年度"/>
    <n v="15000"/>
    <x v="15"/>
    <n v="238708364"/>
    <n v="28381339"/>
    <n v="25461033"/>
    <n v="53842372"/>
    <x v="254"/>
  </r>
  <r>
    <s v="2012年度"/>
    <n v="16000"/>
    <x v="16"/>
    <n v="118014106"/>
    <n v="14273405"/>
    <n v="7837259"/>
    <n v="22110664"/>
    <x v="255"/>
  </r>
  <r>
    <s v="2012年度"/>
    <n v="17000"/>
    <x v="17"/>
    <n v="127077390"/>
    <n v="7089408"/>
    <n v="14704085"/>
    <n v="21793493"/>
    <x v="256"/>
  </r>
  <r>
    <s v="2012年度"/>
    <n v="18000"/>
    <x v="18"/>
    <n v="97903006"/>
    <n v="9428804"/>
    <n v="7920691"/>
    <n v="17349495"/>
    <x v="257"/>
  </r>
  <r>
    <s v="2012年度"/>
    <n v="19000"/>
    <x v="19"/>
    <n v="92999227"/>
    <n v="4446931"/>
    <n v="10315358"/>
    <n v="14762289"/>
    <x v="258"/>
  </r>
  <r>
    <s v="2012年度"/>
    <n v="20000"/>
    <x v="20"/>
    <n v="215445798"/>
    <n v="15800495"/>
    <n v="22588483"/>
    <n v="38388978"/>
    <x v="259"/>
  </r>
  <r>
    <s v="2012年度"/>
    <n v="21000"/>
    <x v="21"/>
    <n v="214850321"/>
    <n v="11790719"/>
    <n v="17347596"/>
    <n v="29138315"/>
    <x v="260"/>
  </r>
  <r>
    <s v="2012年度"/>
    <n v="22000"/>
    <x v="22"/>
    <n v="437027012"/>
    <n v="10847218"/>
    <n v="23884069"/>
    <n v="34731287"/>
    <x v="261"/>
  </r>
  <r>
    <s v="2012年度"/>
    <n v="23000"/>
    <x v="23"/>
    <n v="938568993"/>
    <n v="11803911"/>
    <n v="29507425"/>
    <n v="41311336"/>
    <x v="262"/>
  </r>
  <r>
    <s v="2012年度"/>
    <n v="24000"/>
    <x v="24"/>
    <n v="206775302"/>
    <n v="10158489"/>
    <n v="14316405"/>
    <n v="24474894"/>
    <x v="263"/>
  </r>
  <r>
    <s v="2012年度"/>
    <n v="25000"/>
    <x v="25"/>
    <n v="147303154"/>
    <n v="2577889"/>
    <n v="13305014"/>
    <n v="15882903"/>
    <x v="264"/>
  </r>
  <r>
    <s v="2012年度"/>
    <n v="26000"/>
    <x v="26"/>
    <n v="259349022"/>
    <n v="5727857"/>
    <n v="27648993"/>
    <n v="33376850"/>
    <x v="265"/>
  </r>
  <r>
    <s v="2012年度"/>
    <n v="27000"/>
    <x v="27"/>
    <n v="993622536"/>
    <n v="6030250"/>
    <n v="56272468"/>
    <n v="62302718"/>
    <x v="266"/>
  </r>
  <r>
    <s v="2012年度"/>
    <n v="28000"/>
    <x v="28"/>
    <n v="574191822"/>
    <n v="19818711"/>
    <n v="34855758"/>
    <n v="54674469"/>
    <x v="267"/>
  </r>
  <r>
    <s v="2012年度"/>
    <n v="29000"/>
    <x v="29"/>
    <n v="117606064"/>
    <n v="7706011"/>
    <n v="9313683"/>
    <n v="17019694"/>
    <x v="268"/>
  </r>
  <r>
    <s v="2012年度"/>
    <n v="30000"/>
    <x v="30"/>
    <n v="85828157"/>
    <n v="11589568"/>
    <n v="10263933"/>
    <n v="21853501"/>
    <x v="269"/>
  </r>
  <r>
    <s v="2012年度"/>
    <n v="31000"/>
    <x v="31"/>
    <n v="50824253"/>
    <n v="5640483"/>
    <n v="13575493"/>
    <n v="19215976"/>
    <x v="270"/>
  </r>
  <r>
    <s v="2012年度"/>
    <n v="32000"/>
    <x v="32"/>
    <n v="62475207"/>
    <n v="15156434"/>
    <n v="16819341"/>
    <n v="31975775"/>
    <x v="271"/>
  </r>
  <r>
    <s v="2012年度"/>
    <n v="33000"/>
    <x v="33"/>
    <n v="192158401"/>
    <n v="8443625"/>
    <n v="14814006"/>
    <n v="23257631"/>
    <x v="272"/>
  </r>
  <r>
    <s v="2012年度"/>
    <n v="34000"/>
    <x v="34"/>
    <n v="297091573"/>
    <n v="6467512"/>
    <n v="33407175"/>
    <n v="39874687"/>
    <x v="273"/>
  </r>
  <r>
    <s v="2012年度"/>
    <n v="35000"/>
    <x v="35"/>
    <n v="140716883"/>
    <n v="9325090"/>
    <n v="14818756"/>
    <n v="24143846"/>
    <x v="274"/>
  </r>
  <r>
    <s v="2012年度"/>
    <n v="36000"/>
    <x v="36"/>
    <n v="76923352"/>
    <n v="7113708"/>
    <n v="13852076"/>
    <n v="20965784"/>
    <x v="275"/>
  </r>
  <r>
    <s v="2012年度"/>
    <n v="37000"/>
    <x v="37"/>
    <n v="107928478"/>
    <n v="5117763"/>
    <n v="9257180"/>
    <n v="14374943"/>
    <x v="276"/>
  </r>
  <r>
    <s v="2012年度"/>
    <n v="38000"/>
    <x v="38"/>
    <n v="127733955"/>
    <n v="7685509"/>
    <n v="11465402"/>
    <n v="19150911"/>
    <x v="277"/>
  </r>
  <r>
    <s v="2012年度"/>
    <n v="39000"/>
    <x v="39"/>
    <n v="60470787"/>
    <n v="8660635"/>
    <n v="13010097"/>
    <n v="21670732"/>
    <x v="278"/>
  </r>
  <r>
    <s v="2012年度"/>
    <n v="40000"/>
    <x v="40"/>
    <n v="501735585"/>
    <n v="13711411"/>
    <n v="36465832"/>
    <n v="50177243"/>
    <x v="279"/>
  </r>
  <r>
    <s v="2012年度"/>
    <n v="41000"/>
    <x v="41"/>
    <n v="77666264"/>
    <n v="8850705"/>
    <n v="11767780"/>
    <n v="20618485"/>
    <x v="280"/>
  </r>
  <r>
    <s v="2012年度"/>
    <n v="42000"/>
    <x v="42"/>
    <n v="110549142"/>
    <n v="19517879"/>
    <n v="17493745"/>
    <n v="37011624"/>
    <x v="281"/>
  </r>
  <r>
    <s v="2012年度"/>
    <n v="43000"/>
    <x v="43"/>
    <n v="154247982"/>
    <n v="17425780"/>
    <n v="45834097"/>
    <n v="63259877"/>
    <x v="282"/>
  </r>
  <r>
    <s v="2012年度"/>
    <n v="44000"/>
    <x v="44"/>
    <n v="105695471"/>
    <n v="14271280"/>
    <n v="13990572"/>
    <n v="28261852"/>
    <x v="283"/>
  </r>
  <r>
    <s v="2012年度"/>
    <n v="45000"/>
    <x v="45"/>
    <n v="94533560"/>
    <n v="32735718"/>
    <n v="1153481"/>
    <n v="33889199"/>
    <x v="284"/>
  </r>
  <r>
    <s v="2012年度"/>
    <n v="46000"/>
    <x v="46"/>
    <n v="135103996"/>
    <n v="28560321"/>
    <n v="24388132"/>
    <n v="52948453"/>
    <x v="285"/>
  </r>
  <r>
    <s v="2012年度"/>
    <n v="47000"/>
    <x v="47"/>
    <n v="102105495"/>
    <n v="67335074"/>
    <n v="50642168"/>
    <n v="117977242"/>
    <x v="286"/>
  </r>
  <r>
    <s v="2011年度"/>
    <s v="00000"/>
    <x v="0"/>
    <n v="15735437802"/>
    <n v="1095861805"/>
    <n v="2759846850"/>
    <n v="3855708655"/>
    <x v="287"/>
  </r>
  <r>
    <s v="2011年度"/>
    <s v="01000"/>
    <x v="1"/>
    <n v="532137220"/>
    <n v="77157233"/>
    <n v="73780839"/>
    <n v="150938072"/>
    <x v="288"/>
  </r>
  <r>
    <s v="2011年度"/>
    <s v="02000"/>
    <x v="2"/>
    <n v="131208832"/>
    <n v="21949903"/>
    <n v="35649806"/>
    <n v="57599709"/>
    <x v="289"/>
  </r>
  <r>
    <s v="2011年度"/>
    <s v="03000"/>
    <x v="3"/>
    <n v="112789657"/>
    <n v="80316011"/>
    <n v="204581249"/>
    <n v="284897260"/>
    <x v="290"/>
  </r>
  <r>
    <s v="2011年度"/>
    <s v="04000"/>
    <x v="4"/>
    <n v="226455879"/>
    <n v="127471281"/>
    <n v="381039905"/>
    <n v="508511186"/>
    <x v="291"/>
  </r>
  <r>
    <s v="2011年度"/>
    <s v="05000"/>
    <x v="5"/>
    <n v="88547541"/>
    <n v="15005839"/>
    <n v="29545000"/>
    <n v="44550839"/>
    <x v="292"/>
  </r>
  <r>
    <s v="2011年度"/>
    <s v="06000"/>
    <x v="6"/>
    <n v="99415332"/>
    <n v="8026103"/>
    <n v="32286737"/>
    <n v="40312840"/>
    <x v="293"/>
  </r>
  <r>
    <s v="2011年度"/>
    <s v="07000"/>
    <x v="7"/>
    <n v="190512188"/>
    <n v="136737603"/>
    <n v="882517364"/>
    <n v="1019254967"/>
    <x v="294"/>
  </r>
  <r>
    <s v="2011年度"/>
    <s v="08000"/>
    <x v="8"/>
    <n v="322411517"/>
    <n v="33156106"/>
    <n v="49096925"/>
    <n v="82253031"/>
    <x v="295"/>
  </r>
  <r>
    <s v="2011年度"/>
    <s v="09000"/>
    <x v="9"/>
    <n v="220954560"/>
    <n v="3202046"/>
    <n v="34907675"/>
    <n v="38109721"/>
    <x v="296"/>
  </r>
  <r>
    <s v="2011年度"/>
    <n v="10000"/>
    <x v="10"/>
    <n v="209689274"/>
    <n v="7555473"/>
    <n v="19839550"/>
    <n v="27395023"/>
    <x v="297"/>
  </r>
  <r>
    <s v="2011年度"/>
    <n v="11000"/>
    <x v="11"/>
    <n v="692737135"/>
    <n v="25044230"/>
    <n v="14179336"/>
    <n v="39223566"/>
    <x v="298"/>
  </r>
  <r>
    <s v="2011年度"/>
    <n v="12000"/>
    <x v="12"/>
    <n v="626160657"/>
    <n v="27265266"/>
    <n v="56972829"/>
    <n v="84238095"/>
    <x v="299"/>
  </r>
  <r>
    <s v="2011年度"/>
    <n v="13000"/>
    <x v="13"/>
    <n v="4149759765"/>
    <n v="40340168"/>
    <n v="92796847"/>
    <n v="133137015"/>
    <x v="300"/>
  </r>
  <r>
    <s v="2011年度"/>
    <n v="14000"/>
    <x v="14"/>
    <n v="997844501"/>
    <n v="5291979"/>
    <n v="41502698"/>
    <n v="46794677"/>
    <x v="301"/>
  </r>
  <r>
    <s v="2011年度"/>
    <n v="15000"/>
    <x v="15"/>
    <n v="232483551"/>
    <n v="21701949"/>
    <n v="28212861"/>
    <n v="49914810"/>
    <x v="302"/>
  </r>
  <r>
    <s v="2011年度"/>
    <n v="16000"/>
    <x v="16"/>
    <n v="118179032"/>
    <n v="13371799"/>
    <n v="13445127"/>
    <n v="26816926"/>
    <x v="303"/>
  </r>
  <r>
    <s v="2011年度"/>
    <n v="17000"/>
    <x v="17"/>
    <n v="123381222"/>
    <n v="3341111"/>
    <n v="25412645"/>
    <n v="28753756"/>
    <x v="304"/>
  </r>
  <r>
    <s v="2011年度"/>
    <n v="18000"/>
    <x v="18"/>
    <n v="91041389"/>
    <n v="9694708"/>
    <n v="14704925"/>
    <n v="24399633"/>
    <x v="305"/>
  </r>
  <r>
    <s v="2011年度"/>
    <n v="19000"/>
    <x v="19"/>
    <n v="92924056"/>
    <n v="20536118"/>
    <n v="14767115"/>
    <n v="35303233"/>
    <x v="306"/>
  </r>
  <r>
    <s v="2011年度"/>
    <n v="20000"/>
    <x v="20"/>
    <n v="212386902"/>
    <n v="16274459"/>
    <n v="32563118"/>
    <n v="48837577"/>
    <x v="307"/>
  </r>
  <r>
    <s v="2011年度"/>
    <n v="21000"/>
    <x v="21"/>
    <n v="210275432"/>
    <n v="15487951"/>
    <n v="22331408"/>
    <n v="37819359"/>
    <x v="308"/>
  </r>
  <r>
    <s v="2011年度"/>
    <n v="22000"/>
    <x v="22"/>
    <n v="427609580"/>
    <n v="10745513"/>
    <n v="33389643"/>
    <n v="44135156"/>
    <x v="309"/>
  </r>
  <r>
    <s v="2011年度"/>
    <n v="23000"/>
    <x v="23"/>
    <n v="906211342"/>
    <n v="11344518"/>
    <n v="38788598"/>
    <n v="50133116"/>
    <x v="310"/>
  </r>
  <r>
    <s v="2011年度"/>
    <n v="24000"/>
    <x v="24"/>
    <n v="205899641"/>
    <n v="11579662"/>
    <n v="21492748"/>
    <n v="33072410"/>
    <x v="311"/>
  </r>
  <r>
    <s v="2011年度"/>
    <n v="25000"/>
    <x v="25"/>
    <n v="149076058"/>
    <n v="3260231"/>
    <n v="17409509"/>
    <n v="20669740"/>
    <x v="312"/>
  </r>
  <r>
    <s v="2011年度"/>
    <n v="26000"/>
    <x v="26"/>
    <n v="263236273"/>
    <n v="19453731"/>
    <n v="13542467"/>
    <n v="32996198"/>
    <x v="313"/>
  </r>
  <r>
    <s v="2011年度"/>
    <n v="27000"/>
    <x v="27"/>
    <n v="970208279"/>
    <n v="5548102"/>
    <n v="52129346"/>
    <n v="57677448"/>
    <x v="314"/>
  </r>
  <r>
    <s v="2011年度"/>
    <n v="28000"/>
    <x v="28"/>
    <n v="565021137"/>
    <n v="22645664"/>
    <n v="47238006"/>
    <n v="69883670"/>
    <x v="315"/>
  </r>
  <r>
    <s v="2011年度"/>
    <n v="29000"/>
    <x v="29"/>
    <n v="116885732"/>
    <n v="5729055"/>
    <n v="18497679"/>
    <n v="24226734"/>
    <x v="316"/>
  </r>
  <r>
    <s v="2011年度"/>
    <n v="30000"/>
    <x v="30"/>
    <n v="84992613"/>
    <n v="26783464"/>
    <n v="7816306"/>
    <n v="34599770"/>
    <x v="317"/>
  </r>
  <r>
    <s v="2011年度"/>
    <n v="31000"/>
    <x v="31"/>
    <n v="50482621"/>
    <n v="8031560"/>
    <n v="25895821"/>
    <n v="33927381"/>
    <x v="318"/>
  </r>
  <r>
    <s v="2011年度"/>
    <n v="32000"/>
    <x v="32"/>
    <n v="62721751"/>
    <n v="18141034"/>
    <n v="23124490"/>
    <n v="41265524"/>
    <x v="319"/>
  </r>
  <r>
    <s v="2011年度"/>
    <n v="33000"/>
    <x v="33"/>
    <n v="191108408"/>
    <n v="7637199"/>
    <n v="18582774"/>
    <n v="26219973"/>
    <x v="320"/>
  </r>
  <r>
    <s v="2011年度"/>
    <n v="34000"/>
    <x v="34"/>
    <n v="294054207"/>
    <n v="9412067"/>
    <n v="38956932"/>
    <n v="48368999"/>
    <x v="321"/>
  </r>
  <r>
    <s v="2011年度"/>
    <n v="35000"/>
    <x v="35"/>
    <n v="140936370"/>
    <n v="12584979"/>
    <n v="17695878"/>
    <n v="30280857"/>
    <x v="322"/>
  </r>
  <r>
    <s v="2011年度"/>
    <n v="36000"/>
    <x v="36"/>
    <n v="73344164"/>
    <n v="8523981"/>
    <n v="18629260"/>
    <n v="27153241"/>
    <x v="323"/>
  </r>
  <r>
    <s v="2011年度"/>
    <n v="37000"/>
    <x v="37"/>
    <n v="104857157"/>
    <n v="2497508"/>
    <n v="15223694"/>
    <n v="17721202"/>
    <x v="324"/>
  </r>
  <r>
    <s v="2011年度"/>
    <n v="38000"/>
    <x v="38"/>
    <n v="128150553"/>
    <n v="8932446"/>
    <n v="20630481"/>
    <n v="29562927"/>
    <x v="325"/>
  </r>
  <r>
    <s v="2011年度"/>
    <n v="39000"/>
    <x v="39"/>
    <n v="61531290"/>
    <n v="11211660"/>
    <n v="18216163"/>
    <n v="29427823"/>
    <x v="326"/>
  </r>
  <r>
    <s v="2011年度"/>
    <n v="40000"/>
    <x v="40"/>
    <n v="489781984"/>
    <n v="14609482"/>
    <n v="36887290"/>
    <n v="51496772"/>
    <x v="327"/>
  </r>
  <r>
    <s v="2011年度"/>
    <n v="41000"/>
    <x v="41"/>
    <n v="76596990"/>
    <n v="11492982"/>
    <n v="14294035"/>
    <n v="25787017"/>
    <x v="328"/>
  </r>
  <r>
    <s v="2011年度"/>
    <n v="42000"/>
    <x v="42"/>
    <n v="109855750"/>
    <n v="30470203"/>
    <n v="22840393"/>
    <n v="53310596"/>
    <x v="329"/>
  </r>
  <r>
    <s v="2011年度"/>
    <n v="43000"/>
    <x v="43"/>
    <n v="152122665"/>
    <n v="13656078"/>
    <n v="45801294"/>
    <n v="59457372"/>
    <x v="330"/>
  </r>
  <r>
    <s v="2011年度"/>
    <n v="44000"/>
    <x v="44"/>
    <n v="104592952"/>
    <n v="14839896"/>
    <n v="18772522"/>
    <n v="33612418"/>
    <x v="331"/>
  </r>
  <r>
    <s v="2011年度"/>
    <n v="45000"/>
    <x v="45"/>
    <n v="93559676"/>
    <n v="35553685"/>
    <n v="11336596"/>
    <n v="46890281"/>
    <x v="332"/>
  </r>
  <r>
    <s v="2011年度"/>
    <n v="46000"/>
    <x v="46"/>
    <n v="132466947"/>
    <n v="24738727"/>
    <n v="31370320"/>
    <n v="56109047"/>
    <x v="333"/>
  </r>
  <r>
    <s v="2011年度"/>
    <n v="47000"/>
    <x v="47"/>
    <n v="98838020"/>
    <n v="37511042"/>
    <n v="31150646"/>
    <n v="68661688"/>
    <x v="334"/>
  </r>
  <r>
    <s v="2010年度"/>
    <s v="00000"/>
    <x v="0"/>
    <n v="15932317566"/>
    <n v="1323742544"/>
    <n v="1529042959"/>
    <n v="2852785503"/>
    <x v="335"/>
  </r>
  <r>
    <s v="2010年度"/>
    <s v="01000"/>
    <x v="1"/>
    <n v="544484956"/>
    <n v="91993903"/>
    <n v="72966405"/>
    <n v="164960308"/>
    <x v="336"/>
  </r>
  <r>
    <s v="2010年度"/>
    <s v="02000"/>
    <x v="2"/>
    <n v="137474433"/>
    <n v="26886528"/>
    <n v="31614910"/>
    <n v="58501438"/>
    <x v="337"/>
  </r>
  <r>
    <s v="2010年度"/>
    <s v="03000"/>
    <x v="3"/>
    <n v="114787545"/>
    <n v="24551959"/>
    <n v="33363815"/>
    <n v="57915774"/>
    <x v="338"/>
  </r>
  <r>
    <s v="2010年度"/>
    <s v="04000"/>
    <x v="4"/>
    <n v="237822266"/>
    <n v="17960193"/>
    <n v="30223364"/>
    <n v="48183557"/>
    <x v="339"/>
  </r>
  <r>
    <s v="2010年度"/>
    <s v="05000"/>
    <x v="5"/>
    <n v="90996282"/>
    <n v="25838595"/>
    <n v="21707200"/>
    <n v="47545795"/>
    <x v="340"/>
  </r>
  <r>
    <s v="2010年度"/>
    <s v="06000"/>
    <x v="6"/>
    <n v="100503027"/>
    <n v="11722158"/>
    <n v="22463250"/>
    <n v="34185408"/>
    <x v="341"/>
  </r>
  <r>
    <s v="2010年度"/>
    <s v="07000"/>
    <x v="7"/>
    <n v="195867347"/>
    <n v="22791839"/>
    <n v="33845156"/>
    <n v="56636995"/>
    <x v="342"/>
  </r>
  <r>
    <s v="2010年度"/>
    <s v="08000"/>
    <x v="8"/>
    <n v="324881172"/>
    <n v="16254889"/>
    <n v="31831799"/>
    <n v="48086688"/>
    <x v="343"/>
  </r>
  <r>
    <s v="2010年度"/>
    <s v="09000"/>
    <x v="9"/>
    <n v="224951161"/>
    <n v="13504234"/>
    <n v="29278428"/>
    <n v="42782662"/>
    <x v="344"/>
  </r>
  <r>
    <s v="2010年度"/>
    <n v="10000"/>
    <x v="10"/>
    <n v="211582978"/>
    <n v="19642274"/>
    <n v="22113835"/>
    <n v="41756109"/>
    <x v="345"/>
  </r>
  <r>
    <s v="2010年度"/>
    <n v="11000"/>
    <x v="11"/>
    <n v="700316956"/>
    <n v="21154757"/>
    <n v="38195093"/>
    <n v="59349850"/>
    <x v="346"/>
  </r>
  <r>
    <s v="2010年度"/>
    <n v="12000"/>
    <x v="12"/>
    <n v="637722815"/>
    <n v="25631683"/>
    <n v="50588693"/>
    <n v="76220376"/>
    <x v="347"/>
  </r>
  <r>
    <s v="2010年度"/>
    <n v="13000"/>
    <x v="13"/>
    <n v="4190131675"/>
    <n v="69585647"/>
    <n v="104247792"/>
    <n v="173833439"/>
    <x v="348"/>
  </r>
  <r>
    <s v="2010年度"/>
    <n v="14000"/>
    <x v="14"/>
    <n v="999548117"/>
    <n v="13834703"/>
    <n v="32697152"/>
    <n v="46531855"/>
    <x v="349"/>
  </r>
  <r>
    <s v="2010年度"/>
    <n v="15000"/>
    <x v="15"/>
    <n v="232916620"/>
    <n v="39914957"/>
    <n v="32690223"/>
    <n v="72605180"/>
    <x v="350"/>
  </r>
  <r>
    <s v="2010年度"/>
    <n v="16000"/>
    <x v="16"/>
    <n v="115937565"/>
    <n v="18367867"/>
    <n v="17041746"/>
    <n v="35409613"/>
    <x v="351"/>
  </r>
  <r>
    <s v="2010年度"/>
    <n v="17000"/>
    <x v="17"/>
    <n v="123316369"/>
    <n v="19222142"/>
    <n v="19790866"/>
    <n v="39013008"/>
    <x v="352"/>
  </r>
  <r>
    <s v="2010年度"/>
    <n v="18000"/>
    <x v="18"/>
    <n v="95640652"/>
    <n v="16029681"/>
    <n v="15314262"/>
    <n v="31343943"/>
    <x v="353"/>
  </r>
  <r>
    <s v="2010年度"/>
    <n v="19000"/>
    <x v="19"/>
    <n v="92117125"/>
    <n v="30090302"/>
    <n v="13212933"/>
    <n v="43303235"/>
    <x v="354"/>
  </r>
  <r>
    <s v="2010年度"/>
    <n v="20000"/>
    <x v="20"/>
    <n v="213527477"/>
    <n v="30329362"/>
    <n v="25856421"/>
    <n v="56185783"/>
    <x v="355"/>
  </r>
  <r>
    <s v="2010年度"/>
    <n v="21000"/>
    <x v="21"/>
    <n v="209898774"/>
    <n v="27845282"/>
    <n v="23953529"/>
    <n v="51798811"/>
    <x v="356"/>
  </r>
  <r>
    <s v="2010年度"/>
    <n v="22000"/>
    <x v="22"/>
    <n v="431959417"/>
    <n v="26410132"/>
    <n v="41852583"/>
    <n v="68262715"/>
    <x v="357"/>
  </r>
  <r>
    <s v="2010年度"/>
    <n v="23000"/>
    <x v="23"/>
    <n v="926684700"/>
    <n v="28555279"/>
    <n v="41969855"/>
    <n v="70525134"/>
    <x v="358"/>
  </r>
  <r>
    <s v="2010年度"/>
    <n v="24000"/>
    <x v="24"/>
    <n v="205248104"/>
    <n v="22342663"/>
    <n v="19366148"/>
    <n v="41708811"/>
    <x v="359"/>
  </r>
  <r>
    <s v="2010年度"/>
    <n v="25000"/>
    <x v="25"/>
    <n v="148471382"/>
    <n v="12684186"/>
    <n v="17507805"/>
    <n v="30191991"/>
    <x v="360"/>
  </r>
  <r>
    <s v="2010年度"/>
    <n v="26000"/>
    <x v="26"/>
    <n v="264845358"/>
    <n v="19310051"/>
    <n v="26134514"/>
    <n v="45444565"/>
    <x v="361"/>
  </r>
  <r>
    <s v="2010年度"/>
    <n v="27000"/>
    <x v="27"/>
    <n v="985968006"/>
    <n v="13937412"/>
    <n v="74291475"/>
    <n v="88228887"/>
    <x v="362"/>
  </r>
  <r>
    <s v="2010年度"/>
    <n v="28000"/>
    <x v="28"/>
    <n v="573906206"/>
    <n v="47829986"/>
    <n v="56814613"/>
    <n v="104644599"/>
    <x v="363"/>
  </r>
  <r>
    <s v="2010年度"/>
    <n v="29000"/>
    <x v="29"/>
    <n v="119144081"/>
    <n v="12334365"/>
    <n v="17071207"/>
    <n v="29405572"/>
    <x v="364"/>
  </r>
  <r>
    <s v="2010年度"/>
    <n v="30000"/>
    <x v="30"/>
    <n v="85309423"/>
    <n v="24010020"/>
    <n v="13673707"/>
    <n v="37683727"/>
    <x v="365"/>
  </r>
  <r>
    <s v="2010年度"/>
    <n v="31000"/>
    <x v="31"/>
    <n v="51469510"/>
    <n v="16094212"/>
    <n v="24232022"/>
    <n v="40326234"/>
    <x v="366"/>
  </r>
  <r>
    <s v="2010年度"/>
    <n v="32000"/>
    <x v="32"/>
    <n v="62940763"/>
    <n v="28618879"/>
    <n v="31332419"/>
    <n v="59951298"/>
    <x v="367"/>
  </r>
  <r>
    <s v="2010年度"/>
    <n v="33000"/>
    <x v="33"/>
    <n v="192771916"/>
    <n v="15887315"/>
    <n v="26071428"/>
    <n v="41958743"/>
    <x v="368"/>
  </r>
  <r>
    <s v="2010年度"/>
    <n v="34000"/>
    <x v="34"/>
    <n v="300080843"/>
    <n v="20789976"/>
    <n v="44196855"/>
    <n v="64986831"/>
    <x v="369"/>
  </r>
  <r>
    <s v="2010年度"/>
    <n v="35000"/>
    <x v="35"/>
    <n v="141449209"/>
    <n v="30412473"/>
    <n v="18277411"/>
    <n v="48689884"/>
    <x v="370"/>
  </r>
  <r>
    <s v="2010年度"/>
    <n v="36000"/>
    <x v="36"/>
    <n v="75919180"/>
    <n v="16569367"/>
    <n v="21836952"/>
    <n v="38406319"/>
    <x v="371"/>
  </r>
  <r>
    <s v="2010年度"/>
    <n v="37000"/>
    <x v="37"/>
    <n v="106102173"/>
    <n v="9355136"/>
    <n v="17147661"/>
    <n v="26502797"/>
    <x v="372"/>
  </r>
  <r>
    <s v="2010年度"/>
    <n v="38000"/>
    <x v="38"/>
    <n v="132132277"/>
    <n v="19868397"/>
    <n v="19107207"/>
    <n v="38975604"/>
    <x v="373"/>
  </r>
  <r>
    <s v="2010年度"/>
    <n v="39000"/>
    <x v="39"/>
    <n v="61388681"/>
    <n v="19746663"/>
    <n v="22437000"/>
    <n v="42183663"/>
    <x v="374"/>
  </r>
  <r>
    <s v="2010年度"/>
    <n v="40000"/>
    <x v="40"/>
    <n v="492229814"/>
    <n v="39829020"/>
    <n v="40971265"/>
    <n v="80800285"/>
    <x v="375"/>
  </r>
  <r>
    <s v="2010年度"/>
    <n v="41000"/>
    <x v="41"/>
    <n v="79061164"/>
    <n v="18013547"/>
    <n v="20903847"/>
    <n v="38917394"/>
    <x v="376"/>
  </r>
  <r>
    <s v="2010年度"/>
    <n v="42000"/>
    <x v="42"/>
    <n v="110774600"/>
    <n v="42190607"/>
    <n v="29256279"/>
    <n v="71446886"/>
    <x v="377"/>
  </r>
  <r>
    <s v="2010年度"/>
    <n v="43000"/>
    <x v="43"/>
    <n v="151718611"/>
    <n v="47987272"/>
    <n v="74219690"/>
    <n v="122206962"/>
    <x v="378"/>
  </r>
  <r>
    <s v="2010年度"/>
    <n v="44000"/>
    <x v="44"/>
    <n v="106254685"/>
    <n v="27767626"/>
    <n v="23411207"/>
    <n v="51178833"/>
    <x v="379"/>
  </r>
  <r>
    <s v="2010年度"/>
    <n v="45000"/>
    <x v="45"/>
    <n v="93894597"/>
    <n v="26432635"/>
    <n v="51553620"/>
    <n v="77986255"/>
    <x v="380"/>
  </r>
  <r>
    <s v="2010年度"/>
    <n v="46000"/>
    <x v="46"/>
    <n v="136871402"/>
    <n v="63156702"/>
    <n v="23354485"/>
    <n v="86511187"/>
    <x v="381"/>
  </r>
  <r>
    <s v="2010年度"/>
    <n v="47000"/>
    <x v="47"/>
    <n v="101296152"/>
    <n v="90455668"/>
    <n v="29054832"/>
    <n v="119510500"/>
    <x v="382"/>
  </r>
  <r>
    <s v="2009年度"/>
    <s v="00000"/>
    <x v="0"/>
    <n v="16508841365"/>
    <n v="2486400447"/>
    <n v="3261064060"/>
    <n v="5747464507"/>
    <x v="383"/>
  </r>
  <r>
    <s v="2009年度"/>
    <s v="01000"/>
    <x v="1"/>
    <n v="563053214"/>
    <n v="234621309"/>
    <n v="142364174"/>
    <n v="376985483"/>
    <x v="384"/>
  </r>
  <r>
    <s v="2009年度"/>
    <s v="02000"/>
    <x v="2"/>
    <n v="138067878"/>
    <n v="56289971"/>
    <n v="52735592"/>
    <n v="109025563"/>
    <x v="385"/>
  </r>
  <r>
    <s v="2009年度"/>
    <s v="03000"/>
    <x v="3"/>
    <n v="119675003"/>
    <n v="33287229"/>
    <n v="70968409"/>
    <n v="104255638"/>
    <x v="386"/>
  </r>
  <r>
    <s v="2009年度"/>
    <s v="04000"/>
    <x v="4"/>
    <n v="254818590"/>
    <n v="37118497"/>
    <n v="59640458"/>
    <n v="96758955"/>
    <x v="387"/>
  </r>
  <r>
    <s v="2009年度"/>
    <s v="05000"/>
    <x v="5"/>
    <n v="94392965"/>
    <n v="39586213"/>
    <n v="45888982"/>
    <n v="85475195"/>
    <x v="388"/>
  </r>
  <r>
    <s v="2009年度"/>
    <s v="06000"/>
    <x v="6"/>
    <n v="103998379"/>
    <n v="25322761"/>
    <n v="53430783"/>
    <n v="78753544"/>
    <x v="389"/>
  </r>
  <r>
    <s v="2009年度"/>
    <s v="07000"/>
    <x v="7"/>
    <n v="214147247"/>
    <n v="43413274"/>
    <n v="62562847"/>
    <n v="105976121"/>
    <x v="390"/>
  </r>
  <r>
    <s v="2009年度"/>
    <s v="08000"/>
    <x v="8"/>
    <n v="338909717"/>
    <n v="49167834"/>
    <n v="61793541"/>
    <n v="110961375"/>
    <x v="391"/>
  </r>
  <r>
    <s v="2009年度"/>
    <s v="09000"/>
    <x v="9"/>
    <n v="234609333"/>
    <n v="37658862"/>
    <n v="72084896"/>
    <n v="109743758"/>
    <x v="392"/>
  </r>
  <r>
    <s v="2009年度"/>
    <n v="10000"/>
    <x v="10"/>
    <n v="218381288"/>
    <n v="39395677"/>
    <n v="51590121"/>
    <n v="90985798"/>
    <x v="393"/>
  </r>
  <r>
    <s v="2009年度"/>
    <n v="11000"/>
    <x v="11"/>
    <n v="731247920"/>
    <n v="44422503"/>
    <n v="94736871"/>
    <n v="139159374"/>
    <x v="394"/>
  </r>
  <r>
    <s v="2009年度"/>
    <n v="12000"/>
    <x v="12"/>
    <n v="660232457"/>
    <n v="51839204"/>
    <n v="101265541"/>
    <n v="153104745"/>
    <x v="395"/>
  </r>
  <r>
    <s v="2009年度"/>
    <n v="13000"/>
    <x v="13"/>
    <n v="4256072132"/>
    <n v="174553275"/>
    <n v="185180315"/>
    <n v="359733590"/>
    <x v="396"/>
  </r>
  <r>
    <s v="2009年度"/>
    <n v="14000"/>
    <x v="14"/>
    <n v="1044774018"/>
    <n v="42578409"/>
    <n v="110931692"/>
    <n v="153510101"/>
    <x v="397"/>
  </r>
  <r>
    <s v="2009年度"/>
    <n v="15000"/>
    <x v="15"/>
    <n v="247754950"/>
    <n v="59058609"/>
    <n v="99715384"/>
    <n v="158773993"/>
    <x v="398"/>
  </r>
  <r>
    <s v="2009年度"/>
    <n v="16000"/>
    <x v="16"/>
    <n v="120383024"/>
    <n v="38275712"/>
    <n v="36551524"/>
    <n v="74827236"/>
    <x v="399"/>
  </r>
  <r>
    <s v="2009年度"/>
    <n v="17000"/>
    <x v="17"/>
    <n v="130816786"/>
    <n v="33722388"/>
    <n v="45426889"/>
    <n v="79149277"/>
    <x v="400"/>
  </r>
  <r>
    <s v="2009年度"/>
    <n v="18000"/>
    <x v="18"/>
    <n v="98019444"/>
    <n v="34705557"/>
    <n v="39295985"/>
    <n v="74001542"/>
    <x v="401"/>
  </r>
  <r>
    <s v="2009年度"/>
    <n v="19000"/>
    <x v="19"/>
    <n v="92307925"/>
    <n v="40357753"/>
    <n v="37294485"/>
    <n v="77652238"/>
    <x v="402"/>
  </r>
  <r>
    <s v="2009年度"/>
    <n v="20000"/>
    <x v="20"/>
    <n v="222654817"/>
    <n v="51951921"/>
    <n v="67352505"/>
    <n v="119304426"/>
    <x v="403"/>
  </r>
  <r>
    <s v="2009年度"/>
    <n v="21000"/>
    <x v="21"/>
    <n v="221791598"/>
    <n v="51237792"/>
    <n v="48982889"/>
    <n v="100220681"/>
    <x v="404"/>
  </r>
  <r>
    <s v="2009年度"/>
    <n v="22000"/>
    <x v="22"/>
    <n v="447913546"/>
    <n v="58944328"/>
    <n v="76261764"/>
    <n v="135206092"/>
    <x v="405"/>
  </r>
  <r>
    <s v="2009年度"/>
    <n v="23000"/>
    <x v="23"/>
    <n v="964454311"/>
    <n v="74289853"/>
    <n v="111239495"/>
    <n v="185529348"/>
    <x v="406"/>
  </r>
  <r>
    <s v="2009年度"/>
    <n v="24000"/>
    <x v="24"/>
    <n v="207525034"/>
    <n v="42438742"/>
    <n v="48575414"/>
    <n v="91014156"/>
    <x v="407"/>
  </r>
  <r>
    <s v="2009年度"/>
    <n v="25000"/>
    <x v="25"/>
    <n v="148508986"/>
    <n v="28853904"/>
    <n v="36484419"/>
    <n v="65338323"/>
    <x v="408"/>
  </r>
  <r>
    <s v="2009年度"/>
    <n v="26000"/>
    <x v="26"/>
    <n v="295660473"/>
    <n v="31903005"/>
    <n v="65600792"/>
    <n v="97503797"/>
    <x v="409"/>
  </r>
  <r>
    <s v="2009年度"/>
    <n v="27000"/>
    <x v="27"/>
    <n v="1027000367"/>
    <n v="62448627"/>
    <n v="180536602"/>
    <n v="242985229"/>
    <x v="410"/>
  </r>
  <r>
    <s v="2009年度"/>
    <n v="28000"/>
    <x v="28"/>
    <n v="595590371"/>
    <n v="82157473"/>
    <n v="107907456"/>
    <n v="190064929"/>
    <x v="411"/>
  </r>
  <r>
    <s v="2009年度"/>
    <n v="29000"/>
    <x v="29"/>
    <n v="124246469"/>
    <n v="29639505"/>
    <n v="39052235"/>
    <n v="68691740"/>
    <x v="412"/>
  </r>
  <r>
    <s v="2009年度"/>
    <n v="30000"/>
    <x v="30"/>
    <n v="91273690"/>
    <n v="40922108"/>
    <n v="39289712"/>
    <n v="80211820"/>
    <x v="413"/>
  </r>
  <r>
    <s v="2009年度"/>
    <n v="31000"/>
    <x v="31"/>
    <n v="53717503"/>
    <n v="22039300"/>
    <n v="44788542"/>
    <n v="66827842"/>
    <x v="414"/>
  </r>
  <r>
    <s v="2009年度"/>
    <n v="32000"/>
    <x v="32"/>
    <n v="66665935"/>
    <n v="45625497"/>
    <n v="54524098"/>
    <n v="100149595"/>
    <x v="415"/>
  </r>
  <r>
    <s v="2009年度"/>
    <n v="33000"/>
    <x v="33"/>
    <n v="201244107"/>
    <n v="20701060"/>
    <n v="73076430"/>
    <n v="93777490"/>
    <x v="416"/>
  </r>
  <r>
    <s v="2009年度"/>
    <n v="34000"/>
    <x v="34"/>
    <n v="315898571"/>
    <n v="44627989"/>
    <n v="81746341"/>
    <n v="126374330"/>
    <x v="417"/>
  </r>
  <r>
    <s v="2009年度"/>
    <n v="35000"/>
    <x v="35"/>
    <n v="148092378"/>
    <n v="50267402"/>
    <n v="53160401"/>
    <n v="103427803"/>
    <x v="418"/>
  </r>
  <r>
    <s v="2009年度"/>
    <n v="36000"/>
    <x v="36"/>
    <n v="76517624"/>
    <n v="29205660"/>
    <n v="43746971"/>
    <n v="72952631"/>
    <x v="419"/>
  </r>
  <r>
    <s v="2009年度"/>
    <n v="37000"/>
    <x v="37"/>
    <n v="111472637"/>
    <n v="19150382"/>
    <n v="33203093"/>
    <n v="52353475"/>
    <x v="420"/>
  </r>
  <r>
    <s v="2009年度"/>
    <n v="38000"/>
    <x v="38"/>
    <n v="136059449"/>
    <n v="23449169"/>
    <n v="60157114"/>
    <n v="83606283"/>
    <x v="421"/>
  </r>
  <r>
    <s v="2009年度"/>
    <n v="39000"/>
    <x v="39"/>
    <n v="64090734"/>
    <n v="34017149"/>
    <n v="55469755"/>
    <n v="89486904"/>
    <x v="422"/>
  </r>
  <r>
    <s v="2009年度"/>
    <n v="40000"/>
    <x v="40"/>
    <n v="515498397"/>
    <n v="79725738"/>
    <n v="108547591"/>
    <n v="188273329"/>
    <x v="423"/>
  </r>
  <r>
    <s v="2009年度"/>
    <n v="41000"/>
    <x v="41"/>
    <n v="85025315"/>
    <n v="38105239"/>
    <n v="38280204"/>
    <n v="76385443"/>
    <x v="424"/>
  </r>
  <r>
    <s v="2009年度"/>
    <n v="42000"/>
    <x v="42"/>
    <n v="117252115"/>
    <n v="69271630"/>
    <n v="56746235"/>
    <n v="126017865"/>
    <x v="425"/>
  </r>
  <r>
    <s v="2009年度"/>
    <n v="43000"/>
    <x v="43"/>
    <n v="156385424"/>
    <n v="66069086"/>
    <n v="73956171"/>
    <n v="140025257"/>
    <x v="426"/>
  </r>
  <r>
    <s v="2009年度"/>
    <n v="44000"/>
    <x v="44"/>
    <n v="109328720"/>
    <n v="40010670"/>
    <n v="66032010"/>
    <n v="106042680"/>
    <x v="427"/>
  </r>
  <r>
    <s v="2009年度"/>
    <n v="45000"/>
    <x v="45"/>
    <n v="99442551"/>
    <n v="39532896"/>
    <n v="50076783"/>
    <n v="89609679"/>
    <x v="428"/>
  </r>
  <r>
    <s v="2009年度"/>
    <n v="46000"/>
    <x v="46"/>
    <n v="139822134"/>
    <n v="87557151"/>
    <n v="77553880"/>
    <n v="165111031"/>
    <x v="429"/>
  </r>
  <r>
    <s v="2009年度"/>
    <n v="47000"/>
    <x v="47"/>
    <n v="104045839"/>
    <n v="106882134"/>
    <n v="45256669"/>
    <n v="152138803"/>
    <x v="430"/>
  </r>
  <r>
    <s v="2008年度"/>
    <s v="00000"/>
    <x v="0"/>
    <n v="20012064856"/>
    <n v="1772308195"/>
    <n v="1241733914"/>
    <n v="3014042109"/>
    <x v="431"/>
  </r>
  <r>
    <s v="2008年度"/>
    <s v="01000"/>
    <x v="1"/>
    <n v="621053027"/>
    <n v="146609250"/>
    <n v="66865539"/>
    <n v="213474789"/>
    <x v="432"/>
  </r>
  <r>
    <s v="2008年度"/>
    <s v="02000"/>
    <x v="2"/>
    <n v="151973331"/>
    <n v="36991701"/>
    <n v="24817248"/>
    <n v="61808949"/>
    <x v="433"/>
  </r>
  <r>
    <s v="2008年度"/>
    <s v="03000"/>
    <x v="3"/>
    <n v="137530861"/>
    <n v="32098202"/>
    <n v="23980188"/>
    <n v="56078390"/>
    <x v="434"/>
  </r>
  <r>
    <s v="2008年度"/>
    <s v="04000"/>
    <x v="4"/>
    <n v="291654731"/>
    <n v="28825227"/>
    <n v="24644010"/>
    <n v="53469237"/>
    <x v="435"/>
  </r>
  <r>
    <s v="2008年度"/>
    <s v="05000"/>
    <x v="5"/>
    <n v="108215696"/>
    <n v="32168850"/>
    <n v="27091429"/>
    <n v="59260279"/>
    <x v="436"/>
  </r>
  <r>
    <s v="2008年度"/>
    <s v="06000"/>
    <x v="6"/>
    <n v="122923650"/>
    <n v="14196925"/>
    <n v="19213529"/>
    <n v="33410454"/>
    <x v="437"/>
  </r>
  <r>
    <s v="2008年度"/>
    <s v="07000"/>
    <x v="7"/>
    <n v="251690914"/>
    <n v="30685364"/>
    <n v="25740318"/>
    <n v="56425682"/>
    <x v="438"/>
  </r>
  <r>
    <s v="2008年度"/>
    <s v="08000"/>
    <x v="8"/>
    <n v="412215510"/>
    <n v="29864927"/>
    <n v="22050690"/>
    <n v="51915617"/>
    <x v="439"/>
  </r>
  <r>
    <s v="2008年度"/>
    <s v="09000"/>
    <x v="9"/>
    <n v="288529432"/>
    <n v="24666194"/>
    <n v="20270040"/>
    <n v="44936234"/>
    <x v="440"/>
  </r>
  <r>
    <s v="2008年度"/>
    <n v="10000"/>
    <x v="10"/>
    <n v="260611685"/>
    <n v="20706835"/>
    <n v="18195425"/>
    <n v="38902260"/>
    <x v="441"/>
  </r>
  <r>
    <s v="2008年度"/>
    <n v="11000"/>
    <x v="11"/>
    <n v="836115131"/>
    <n v="24450979"/>
    <n v="35612128"/>
    <n v="60063107"/>
    <x v="442"/>
  </r>
  <r>
    <s v="2008年度"/>
    <n v="12000"/>
    <x v="12"/>
    <n v="759397135"/>
    <n v="36056542"/>
    <n v="45792947"/>
    <n v="81849489"/>
    <x v="443"/>
  </r>
  <r>
    <s v="2008年度"/>
    <n v="13000"/>
    <x v="13"/>
    <n v="5293276749"/>
    <n v="100685120"/>
    <n v="74837197"/>
    <n v="175522317"/>
    <x v="444"/>
  </r>
  <r>
    <s v="2008年度"/>
    <n v="14000"/>
    <x v="14"/>
    <n v="1252413116"/>
    <n v="27594177"/>
    <n v="46578436"/>
    <n v="74172613"/>
    <x v="445"/>
  </r>
  <r>
    <s v="2008年度"/>
    <n v="15000"/>
    <x v="15"/>
    <n v="286607296"/>
    <n v="69846701"/>
    <n v="28962693"/>
    <n v="98809394"/>
    <x v="446"/>
  </r>
  <r>
    <s v="2008年度"/>
    <n v="16000"/>
    <x v="16"/>
    <n v="143378370"/>
    <n v="21171495"/>
    <n v="14841315"/>
    <n v="36012810"/>
    <x v="447"/>
  </r>
  <r>
    <s v="2008年度"/>
    <n v="17000"/>
    <x v="17"/>
    <n v="157055877"/>
    <n v="21332429"/>
    <n v="17059336"/>
    <n v="38391765"/>
    <x v="448"/>
  </r>
  <r>
    <s v="2008年度"/>
    <n v="18000"/>
    <x v="18"/>
    <n v="118447446"/>
    <n v="30202604"/>
    <n v="15241238"/>
    <n v="45443842"/>
    <x v="449"/>
  </r>
  <r>
    <s v="2008年度"/>
    <n v="19000"/>
    <x v="19"/>
    <n v="120476223"/>
    <n v="32613334"/>
    <n v="14205324"/>
    <n v="46818658"/>
    <x v="450"/>
  </r>
  <r>
    <s v="2008年度"/>
    <n v="20000"/>
    <x v="20"/>
    <n v="262960515"/>
    <n v="36745290"/>
    <n v="24279588"/>
    <n v="61024878"/>
    <x v="451"/>
  </r>
  <r>
    <s v="2008年度"/>
    <n v="21000"/>
    <x v="21"/>
    <n v="263784941"/>
    <n v="29753674"/>
    <n v="19820592"/>
    <n v="49574266"/>
    <x v="452"/>
  </r>
  <r>
    <s v="2008年度"/>
    <n v="22000"/>
    <x v="22"/>
    <n v="569773169"/>
    <n v="42990263"/>
    <n v="20674540"/>
    <n v="63664803"/>
    <x v="453"/>
  </r>
  <r>
    <s v="2008年度"/>
    <n v="23000"/>
    <x v="23"/>
    <n v="1341867717"/>
    <n v="56904559"/>
    <n v="41863734"/>
    <n v="98768293"/>
    <x v="454"/>
  </r>
  <r>
    <s v="2008年度"/>
    <n v="24000"/>
    <x v="24"/>
    <n v="266969609"/>
    <n v="26786687"/>
    <n v="16427152"/>
    <n v="43213839"/>
    <x v="455"/>
  </r>
  <r>
    <s v="2008年度"/>
    <n v="25000"/>
    <x v="25"/>
    <n v="193029682"/>
    <n v="15309622"/>
    <n v="18987677"/>
    <n v="34297299"/>
    <x v="456"/>
  </r>
  <r>
    <s v="2008年度"/>
    <n v="26000"/>
    <x v="26"/>
    <n v="351766321"/>
    <n v="20138702"/>
    <n v="20305151"/>
    <n v="40443853"/>
    <x v="457"/>
  </r>
  <r>
    <s v="2008年度"/>
    <n v="27000"/>
    <x v="27"/>
    <n v="1281341914"/>
    <n v="42556743"/>
    <n v="58228805"/>
    <n v="100785548"/>
    <x v="458"/>
  </r>
  <r>
    <s v="2008年度"/>
    <n v="28000"/>
    <x v="28"/>
    <n v="699866976"/>
    <n v="61381595"/>
    <n v="37036003"/>
    <n v="98417598"/>
    <x v="459"/>
  </r>
  <r>
    <s v="2008年度"/>
    <n v="29000"/>
    <x v="29"/>
    <n v="139144021"/>
    <n v="17123350"/>
    <n v="15515628"/>
    <n v="32638978"/>
    <x v="460"/>
  </r>
  <r>
    <s v="2008年度"/>
    <n v="30000"/>
    <x v="30"/>
    <n v="110411018"/>
    <n v="26067786"/>
    <n v="14916052"/>
    <n v="40983838"/>
    <x v="461"/>
  </r>
  <r>
    <s v="2008年度"/>
    <n v="31000"/>
    <x v="31"/>
    <n v="61194156"/>
    <n v="20165243"/>
    <n v="14771368"/>
    <n v="34936611"/>
    <x v="462"/>
  </r>
  <r>
    <s v="2008年度"/>
    <n v="32000"/>
    <x v="32"/>
    <n v="76578790"/>
    <n v="35465665"/>
    <n v="19676265"/>
    <n v="55141930"/>
    <x v="463"/>
  </r>
  <r>
    <s v="2008年度"/>
    <n v="33000"/>
    <x v="33"/>
    <n v="246773600"/>
    <n v="22284538"/>
    <n v="18417666"/>
    <n v="40702204"/>
    <x v="464"/>
  </r>
  <r>
    <s v="2008年度"/>
    <n v="34000"/>
    <x v="34"/>
    <n v="384717007"/>
    <n v="32884010"/>
    <n v="37166151"/>
    <n v="70050161"/>
    <x v="465"/>
  </r>
  <r>
    <s v="2008年度"/>
    <n v="35000"/>
    <x v="35"/>
    <n v="182560889"/>
    <n v="35191867"/>
    <n v="22810116"/>
    <n v="58001983"/>
    <x v="466"/>
  </r>
  <r>
    <s v="2008年度"/>
    <n v="36000"/>
    <x v="36"/>
    <n v="87671011"/>
    <n v="20862738"/>
    <n v="14306253"/>
    <n v="35168991"/>
    <x v="467"/>
  </r>
  <r>
    <s v="2008年度"/>
    <n v="37000"/>
    <x v="37"/>
    <n v="128968096"/>
    <n v="11259889"/>
    <n v="11887936"/>
    <n v="23147825"/>
    <x v="468"/>
  </r>
  <r>
    <s v="2008年度"/>
    <n v="38000"/>
    <x v="38"/>
    <n v="159759913"/>
    <n v="24323168"/>
    <n v="17733400"/>
    <n v="42056568"/>
    <x v="469"/>
  </r>
  <r>
    <s v="2008年度"/>
    <n v="39000"/>
    <x v="39"/>
    <n v="70822477"/>
    <n v="22530698"/>
    <n v="17608550"/>
    <n v="40139248"/>
    <x v="470"/>
  </r>
  <r>
    <s v="2008年度"/>
    <n v="40000"/>
    <x v="40"/>
    <n v="598627947"/>
    <n v="45235429"/>
    <n v="39459545"/>
    <n v="84694974"/>
    <x v="471"/>
  </r>
  <r>
    <s v="2008年度"/>
    <n v="41000"/>
    <x v="41"/>
    <n v="99424753"/>
    <n v="24203061"/>
    <n v="15082568"/>
    <n v="39285629"/>
    <x v="472"/>
  </r>
  <r>
    <s v="2008年度"/>
    <n v="42000"/>
    <x v="42"/>
    <n v="129107591"/>
    <n v="56915944"/>
    <n v="26688176"/>
    <n v="83604120"/>
    <x v="473"/>
  </r>
  <r>
    <s v="2008年度"/>
    <n v="43000"/>
    <x v="43"/>
    <n v="181775442"/>
    <n v="41667872"/>
    <n v="24362264"/>
    <n v="66030136"/>
    <x v="474"/>
  </r>
  <r>
    <s v="2008年度"/>
    <n v="44000"/>
    <x v="44"/>
    <n v="126910964"/>
    <n v="43041329"/>
    <n v="17247567"/>
    <n v="60288896"/>
    <x v="475"/>
  </r>
  <r>
    <s v="2008年度"/>
    <n v="45000"/>
    <x v="45"/>
    <n v="111640112"/>
    <n v="33244835"/>
    <n v="30410531"/>
    <n v="63655366"/>
    <x v="476"/>
  </r>
  <r>
    <s v="2008年度"/>
    <n v="46000"/>
    <x v="46"/>
    <n v="156320953"/>
    <n v="67908880"/>
    <n v="32833921"/>
    <n v="100742801"/>
    <x v="477"/>
  </r>
  <r>
    <s v="2008年度"/>
    <n v="47000"/>
    <x v="47"/>
    <n v="114729092"/>
    <n v="98597902"/>
    <n v="27217685"/>
    <n v="125815587"/>
    <x v="478"/>
  </r>
  <r>
    <s v="2007年度"/>
    <s v="00000"/>
    <x v="0"/>
    <n v="20793974302"/>
    <n v="1857185336"/>
    <n v="515738120"/>
    <n v="2372923456"/>
    <x v="479"/>
  </r>
  <r>
    <s v="2007年度"/>
    <s v="01000"/>
    <x v="1"/>
    <n v="648323135"/>
    <n v="156474602"/>
    <n v="32043759"/>
    <n v="188518361"/>
    <x v="480"/>
  </r>
  <r>
    <s v="2007年度"/>
    <s v="02000"/>
    <x v="2"/>
    <n v="155417685"/>
    <n v="39578143"/>
    <n v="9794697"/>
    <n v="49372840"/>
    <x v="481"/>
  </r>
  <r>
    <s v="2007年度"/>
    <s v="03000"/>
    <x v="3"/>
    <n v="143934815"/>
    <n v="33099687"/>
    <n v="6908202"/>
    <n v="40007889"/>
    <x v="482"/>
  </r>
  <r>
    <s v="2007年度"/>
    <s v="04000"/>
    <x v="4"/>
    <n v="295444413"/>
    <n v="28927523"/>
    <n v="6298165"/>
    <n v="35225688"/>
    <x v="483"/>
  </r>
  <r>
    <s v="2007年度"/>
    <s v="05000"/>
    <x v="5"/>
    <n v="114115112"/>
    <n v="35850220"/>
    <n v="4614973"/>
    <n v="40465193"/>
    <x v="484"/>
  </r>
  <r>
    <s v="2007年度"/>
    <s v="06000"/>
    <x v="6"/>
    <n v="127308501"/>
    <n v="18504397"/>
    <n v="6259114"/>
    <n v="24763511"/>
    <x v="485"/>
  </r>
  <r>
    <s v="2007年度"/>
    <s v="07000"/>
    <x v="7"/>
    <n v="263997277"/>
    <n v="32139930"/>
    <n v="8411126"/>
    <n v="40551056"/>
    <x v="486"/>
  </r>
  <r>
    <s v="2007年度"/>
    <s v="08000"/>
    <x v="8"/>
    <n v="429674368"/>
    <n v="31533304"/>
    <n v="7508684"/>
    <n v="39041988"/>
    <x v="487"/>
  </r>
  <r>
    <s v="2007年度"/>
    <s v="09000"/>
    <x v="9"/>
    <n v="301028548"/>
    <n v="28322782"/>
    <n v="6513317"/>
    <n v="34836099"/>
    <x v="488"/>
  </r>
  <r>
    <s v="2007年度"/>
    <n v="10000"/>
    <x v="10"/>
    <n v="277906857"/>
    <n v="18140633"/>
    <n v="5496478"/>
    <n v="23637111"/>
    <x v="489"/>
  </r>
  <r>
    <s v="2007年度"/>
    <n v="11000"/>
    <x v="11"/>
    <n v="867378613"/>
    <n v="26092235"/>
    <n v="15659230"/>
    <n v="41751465"/>
    <x v="490"/>
  </r>
  <r>
    <s v="2007年度"/>
    <n v="12000"/>
    <x v="12"/>
    <n v="784015091"/>
    <n v="35988089"/>
    <n v="25388995"/>
    <n v="61377084"/>
    <x v="491"/>
  </r>
  <r>
    <s v="2007年度"/>
    <n v="13000"/>
    <x v="13"/>
    <n v="5497271578"/>
    <n v="85580240"/>
    <n v="43228483"/>
    <n v="128808723"/>
    <x v="492"/>
  </r>
  <r>
    <s v="2007年度"/>
    <n v="14000"/>
    <x v="14"/>
    <n v="1281171724"/>
    <n v="26703422"/>
    <n v="17359215"/>
    <n v="44062637"/>
    <x v="493"/>
  </r>
  <r>
    <s v="2007年度"/>
    <n v="15000"/>
    <x v="15"/>
    <n v="298350044"/>
    <n v="80841014"/>
    <n v="17645422"/>
    <n v="98486436"/>
    <x v="494"/>
  </r>
  <r>
    <s v="2007年度"/>
    <n v="16000"/>
    <x v="16"/>
    <n v="151140708"/>
    <n v="22221146"/>
    <n v="7078175"/>
    <n v="29299321"/>
    <x v="495"/>
  </r>
  <r>
    <s v="2007年度"/>
    <n v="17000"/>
    <x v="17"/>
    <n v="164179526"/>
    <n v="22319249"/>
    <n v="6673632"/>
    <n v="28992881"/>
    <x v="496"/>
  </r>
  <r>
    <s v="2007年度"/>
    <n v="18000"/>
    <x v="18"/>
    <n v="123272133"/>
    <n v="35141328"/>
    <n v="8181623"/>
    <n v="43322951"/>
    <x v="497"/>
  </r>
  <r>
    <s v="2007年度"/>
    <n v="19000"/>
    <x v="19"/>
    <n v="124589198"/>
    <n v="33279975"/>
    <n v="4062700"/>
    <n v="37342675"/>
    <x v="498"/>
  </r>
  <r>
    <s v="2007年度"/>
    <n v="20000"/>
    <x v="20"/>
    <n v="282507342"/>
    <n v="39269134"/>
    <n v="8807246"/>
    <n v="48076380"/>
    <x v="499"/>
  </r>
  <r>
    <s v="2007年度"/>
    <n v="21000"/>
    <x v="21"/>
    <n v="279031633"/>
    <n v="29240318"/>
    <n v="6971600"/>
    <n v="36211918"/>
    <x v="500"/>
  </r>
  <r>
    <s v="2007年度"/>
    <n v="22000"/>
    <x v="22"/>
    <n v="598152048"/>
    <n v="39881990"/>
    <n v="10268554"/>
    <n v="50150544"/>
    <x v="501"/>
  </r>
  <r>
    <s v="2007年度"/>
    <n v="23000"/>
    <x v="23"/>
    <n v="1414281656"/>
    <n v="52686021"/>
    <n v="15052247"/>
    <n v="67738268"/>
    <x v="502"/>
  </r>
  <r>
    <s v="2007年度"/>
    <n v="24000"/>
    <x v="24"/>
    <n v="276054022"/>
    <n v="28561421"/>
    <n v="3114890"/>
    <n v="31676311"/>
    <x v="503"/>
  </r>
  <r>
    <s v="2007年度"/>
    <n v="25000"/>
    <x v="25"/>
    <n v="202742909"/>
    <n v="16511281"/>
    <n v="4897010"/>
    <n v="21408291"/>
    <x v="504"/>
  </r>
  <r>
    <s v="2007年度"/>
    <n v="26000"/>
    <x v="26"/>
    <n v="359339580"/>
    <n v="23623866"/>
    <n v="8299781"/>
    <n v="31923647"/>
    <x v="505"/>
  </r>
  <r>
    <s v="2007年度"/>
    <n v="27000"/>
    <x v="27"/>
    <n v="1342486283"/>
    <n v="41971683"/>
    <n v="32069072"/>
    <n v="74040755"/>
    <x v="506"/>
  </r>
  <r>
    <s v="2007年度"/>
    <n v="28000"/>
    <x v="28"/>
    <n v="718086866"/>
    <n v="64903428"/>
    <n v="15971667"/>
    <n v="80875095"/>
    <x v="507"/>
  </r>
  <r>
    <s v="2007年度"/>
    <n v="29000"/>
    <x v="29"/>
    <n v="147204173"/>
    <n v="19725336"/>
    <n v="2508686"/>
    <n v="22234022"/>
    <x v="508"/>
  </r>
  <r>
    <s v="2007年度"/>
    <n v="30000"/>
    <x v="30"/>
    <n v="107215013"/>
    <n v="26921642"/>
    <n v="4276805"/>
    <n v="31198447"/>
    <x v="509"/>
  </r>
  <r>
    <s v="2007年度"/>
    <n v="31000"/>
    <x v="31"/>
    <n v="61672874"/>
    <n v="19127255"/>
    <n v="4463716"/>
    <n v="23590971"/>
    <x v="510"/>
  </r>
  <r>
    <s v="2007年度"/>
    <n v="32000"/>
    <x v="32"/>
    <n v="77403432"/>
    <n v="35638273"/>
    <n v="7000096"/>
    <n v="42638369"/>
    <x v="511"/>
  </r>
  <r>
    <s v="2007年度"/>
    <n v="33000"/>
    <x v="33"/>
    <n v="255215781"/>
    <n v="25604561"/>
    <n v="8628405"/>
    <n v="34232966"/>
    <x v="512"/>
  </r>
  <r>
    <s v="2007年度"/>
    <n v="34000"/>
    <x v="34"/>
    <n v="392784031"/>
    <n v="37851564"/>
    <n v="24078864"/>
    <n v="61930428"/>
    <x v="513"/>
  </r>
  <r>
    <s v="2007年度"/>
    <n v="35000"/>
    <x v="35"/>
    <n v="194978493"/>
    <n v="38154616"/>
    <n v="12313147"/>
    <n v="50467763"/>
    <x v="514"/>
  </r>
  <r>
    <s v="2007年度"/>
    <n v="36000"/>
    <x v="36"/>
    <n v="93382499"/>
    <n v="25969726"/>
    <n v="3123279"/>
    <n v="29093005"/>
    <x v="515"/>
  </r>
  <r>
    <s v="2007年度"/>
    <n v="37000"/>
    <x v="37"/>
    <n v="132718400"/>
    <n v="12789756"/>
    <n v="4330893"/>
    <n v="17120649"/>
    <x v="516"/>
  </r>
  <r>
    <s v="2007年度"/>
    <n v="38000"/>
    <x v="38"/>
    <n v="169714992"/>
    <n v="28668520"/>
    <n v="5828524"/>
    <n v="34497044"/>
    <x v="517"/>
  </r>
  <r>
    <s v="2007年度"/>
    <n v="39000"/>
    <x v="39"/>
    <n v="74350651"/>
    <n v="25183895"/>
    <n v="4628584"/>
    <n v="29812479"/>
    <x v="518"/>
  </r>
  <r>
    <s v="2007年度"/>
    <n v="40000"/>
    <x v="40"/>
    <n v="622544910"/>
    <n v="47766397"/>
    <n v="20755485"/>
    <n v="68521882"/>
    <x v="519"/>
  </r>
  <r>
    <s v="2007年度"/>
    <n v="41000"/>
    <x v="41"/>
    <n v="95524221"/>
    <n v="24277082"/>
    <n v="3862736"/>
    <n v="28139818"/>
    <x v="520"/>
  </r>
  <r>
    <s v="2007年度"/>
    <n v="42000"/>
    <x v="42"/>
    <n v="130190910"/>
    <n v="55578279"/>
    <n v="13380810"/>
    <n v="68959089"/>
    <x v="521"/>
  </r>
  <r>
    <s v="2007年度"/>
    <n v="43000"/>
    <x v="43"/>
    <n v="192188451"/>
    <n v="48779988"/>
    <n v="11129769"/>
    <n v="59909757"/>
    <x v="522"/>
  </r>
  <r>
    <s v="2007年度"/>
    <n v="44000"/>
    <x v="44"/>
    <n v="133305124"/>
    <n v="46474997"/>
    <n v="5213474"/>
    <n v="51688471"/>
    <x v="523"/>
  </r>
  <r>
    <s v="2007年度"/>
    <n v="45000"/>
    <x v="45"/>
    <n v="112452910"/>
    <n v="35040269"/>
    <n v="10071855"/>
    <n v="45112124"/>
    <x v="524"/>
  </r>
  <r>
    <s v="2007年度"/>
    <n v="46000"/>
    <x v="46"/>
    <n v="165137421"/>
    <n v="78071176"/>
    <n v="16700560"/>
    <n v="94771736"/>
    <x v="525"/>
  </r>
  <r>
    <s v="2007年度"/>
    <n v="47000"/>
    <x v="47"/>
    <n v="114788351"/>
    <n v="98174943"/>
    <n v="8864375"/>
    <n v="107039318"/>
    <x v="526"/>
  </r>
  <r>
    <s v="2006年度"/>
    <s v="00000"/>
    <x v="0"/>
    <n v="18345200415"/>
    <n v="2083601542"/>
    <n v="1077793082"/>
    <n v="3161394624"/>
    <x v="527"/>
  </r>
  <r>
    <s v="2006年度"/>
    <s v="01000"/>
    <x v="1"/>
    <n v="582075120"/>
    <n v="186909093"/>
    <n v="70001064"/>
    <n v="256910157"/>
    <x v="528"/>
  </r>
  <r>
    <s v="2006年度"/>
    <s v="02000"/>
    <x v="2"/>
    <n v="149248379"/>
    <n v="41898389"/>
    <n v="20141003"/>
    <n v="62039392"/>
    <x v="529"/>
  </r>
  <r>
    <s v="2006年度"/>
    <s v="03000"/>
    <x v="3"/>
    <n v="129102003"/>
    <n v="37838444"/>
    <n v="17908602"/>
    <n v="55747046"/>
    <x v="530"/>
  </r>
  <r>
    <s v="2006年度"/>
    <s v="04000"/>
    <x v="4"/>
    <n v="264081036"/>
    <n v="32106952"/>
    <n v="14271740"/>
    <n v="46378692"/>
    <x v="531"/>
  </r>
  <r>
    <s v="2006年度"/>
    <s v="05000"/>
    <x v="5"/>
    <n v="101119912"/>
    <n v="42917900"/>
    <n v="16180481"/>
    <n v="59098381"/>
    <x v="532"/>
  </r>
  <r>
    <s v="2006年度"/>
    <s v="06000"/>
    <x v="6"/>
    <n v="113622416"/>
    <n v="20742862"/>
    <n v="15260497"/>
    <n v="36003359"/>
    <x v="533"/>
  </r>
  <r>
    <s v="2006年度"/>
    <s v="07000"/>
    <x v="7"/>
    <n v="231844860"/>
    <n v="39303160"/>
    <n v="19453467"/>
    <n v="58756627"/>
    <x v="534"/>
  </r>
  <r>
    <s v="2006年度"/>
    <s v="08000"/>
    <x v="8"/>
    <n v="372862876"/>
    <n v="33661297"/>
    <n v="20195692"/>
    <n v="53856989"/>
    <x v="535"/>
  </r>
  <r>
    <s v="2006年度"/>
    <s v="09000"/>
    <x v="9"/>
    <n v="273728886"/>
    <n v="28206368"/>
    <n v="21847137"/>
    <n v="50053505"/>
    <x v="536"/>
  </r>
  <r>
    <s v="2006年度"/>
    <n v="10000"/>
    <x v="10"/>
    <n v="247240364"/>
    <n v="19758066"/>
    <n v="14736757"/>
    <n v="34494823"/>
    <x v="537"/>
  </r>
  <r>
    <s v="2006年度"/>
    <n v="11000"/>
    <x v="11"/>
    <n v="739328771"/>
    <n v="31680305"/>
    <n v="27661561"/>
    <n v="59341866"/>
    <x v="538"/>
  </r>
  <r>
    <s v="2006年度"/>
    <n v="12000"/>
    <x v="12"/>
    <n v="667475949"/>
    <n v="35492060"/>
    <n v="36340053"/>
    <n v="71832113"/>
    <x v="539"/>
  </r>
  <r>
    <s v="2006年度"/>
    <n v="13000"/>
    <x v="13"/>
    <n v="4927071851"/>
    <n v="84671854"/>
    <n v="119887135"/>
    <n v="204558989"/>
    <x v="540"/>
  </r>
  <r>
    <s v="2006年度"/>
    <n v="14000"/>
    <x v="14"/>
    <n v="1066427299"/>
    <n v="31084515"/>
    <n v="30681877"/>
    <n v="61766392"/>
    <x v="541"/>
  </r>
  <r>
    <s v="2006年度"/>
    <n v="15000"/>
    <x v="15"/>
    <n v="275382312"/>
    <n v="98470888"/>
    <n v="22608163"/>
    <n v="121079051"/>
    <x v="542"/>
  </r>
  <r>
    <s v="2006年度"/>
    <n v="16000"/>
    <x v="16"/>
    <n v="134820798"/>
    <n v="26503446"/>
    <n v="13289218"/>
    <n v="39792664"/>
    <x v="543"/>
  </r>
  <r>
    <s v="2006年度"/>
    <n v="17000"/>
    <x v="17"/>
    <n v="148698136"/>
    <n v="25128090"/>
    <n v="14696532"/>
    <n v="39824622"/>
    <x v="544"/>
  </r>
  <r>
    <s v="2006年度"/>
    <n v="18000"/>
    <x v="18"/>
    <n v="108563353"/>
    <n v="38723773"/>
    <n v="13059926"/>
    <n v="51783699"/>
    <x v="545"/>
  </r>
  <r>
    <s v="2006年度"/>
    <n v="19000"/>
    <x v="19"/>
    <n v="109233162"/>
    <n v="37200066"/>
    <n v="4832897"/>
    <n v="42032963"/>
    <x v="546"/>
  </r>
  <r>
    <s v="2006年度"/>
    <n v="20000"/>
    <x v="20"/>
    <n v="247333687"/>
    <n v="33942760"/>
    <n v="21148430"/>
    <n v="55091190"/>
    <x v="547"/>
  </r>
  <r>
    <s v="2006年度"/>
    <n v="21000"/>
    <x v="21"/>
    <n v="240346218"/>
    <n v="34624410"/>
    <n v="16348592"/>
    <n v="50973002"/>
    <x v="548"/>
  </r>
  <r>
    <s v="2006年度"/>
    <n v="22000"/>
    <x v="22"/>
    <n v="520279846"/>
    <n v="42829023"/>
    <n v="24943882"/>
    <n v="67772905"/>
    <x v="549"/>
  </r>
  <r>
    <s v="2006年度"/>
    <n v="23000"/>
    <x v="23"/>
    <n v="1228167913"/>
    <n v="58268299"/>
    <n v="35044149"/>
    <n v="93312448"/>
    <x v="550"/>
  </r>
  <r>
    <s v="2006年度"/>
    <n v="24000"/>
    <x v="24"/>
    <n v="244894131"/>
    <n v="34292034"/>
    <n v="10343258"/>
    <n v="44635292"/>
    <x v="551"/>
  </r>
  <r>
    <s v="2006年度"/>
    <n v="25000"/>
    <x v="25"/>
    <n v="169101345"/>
    <n v="17977138"/>
    <n v="11209925"/>
    <n v="29187063"/>
    <x v="552"/>
  </r>
  <r>
    <s v="2006年度"/>
    <n v="26000"/>
    <x v="26"/>
    <n v="310625737"/>
    <n v="23785207"/>
    <n v="15537467"/>
    <n v="39322674"/>
    <x v="553"/>
  </r>
  <r>
    <s v="2006年度"/>
    <n v="27000"/>
    <x v="27"/>
    <n v="1199000581"/>
    <n v="49441010"/>
    <n v="56662320"/>
    <n v="106103330"/>
    <x v="554"/>
  </r>
  <r>
    <s v="2006年度"/>
    <n v="28000"/>
    <x v="28"/>
    <n v="628209452"/>
    <n v="75364938"/>
    <n v="39701889"/>
    <n v="115066827"/>
    <x v="555"/>
  </r>
  <r>
    <s v="2006年度"/>
    <n v="29000"/>
    <x v="29"/>
    <n v="123580620"/>
    <n v="22584499"/>
    <n v="12522106"/>
    <n v="35106605"/>
    <x v="556"/>
  </r>
  <r>
    <s v="2006年度"/>
    <n v="30000"/>
    <x v="30"/>
    <n v="99384778"/>
    <n v="29420025"/>
    <n v="13118811"/>
    <n v="42538836"/>
    <x v="557"/>
  </r>
  <r>
    <s v="2006年度"/>
    <n v="31000"/>
    <x v="31"/>
    <n v="56901305"/>
    <n v="23691445"/>
    <n v="12278581"/>
    <n v="35970026"/>
    <x v="558"/>
  </r>
  <r>
    <s v="2006年度"/>
    <n v="32000"/>
    <x v="32"/>
    <n v="68423132"/>
    <n v="39425183"/>
    <n v="19292367"/>
    <n v="58717550"/>
    <x v="559"/>
  </r>
  <r>
    <s v="2006年度"/>
    <n v="33000"/>
    <x v="33"/>
    <n v="227828426"/>
    <n v="31619364"/>
    <n v="17593856"/>
    <n v="49213220"/>
    <x v="560"/>
  </r>
  <r>
    <s v="2006年度"/>
    <n v="34000"/>
    <x v="34"/>
    <n v="345778855"/>
    <n v="42048399"/>
    <n v="36230227"/>
    <n v="78278626"/>
    <x v="561"/>
  </r>
  <r>
    <s v="2006年度"/>
    <n v="35000"/>
    <x v="35"/>
    <n v="172975100"/>
    <n v="42035233"/>
    <n v="21677794"/>
    <n v="63713027"/>
    <x v="562"/>
  </r>
  <r>
    <s v="2006年度"/>
    <n v="36000"/>
    <x v="36"/>
    <n v="84919988"/>
    <n v="31519683"/>
    <n v="10354505"/>
    <n v="41874188"/>
    <x v="563"/>
  </r>
  <r>
    <s v="2006年度"/>
    <n v="37000"/>
    <x v="37"/>
    <n v="119973400"/>
    <n v="17784538"/>
    <n v="6355485"/>
    <n v="24140023"/>
    <x v="564"/>
  </r>
  <r>
    <s v="2006年度"/>
    <n v="38000"/>
    <x v="38"/>
    <n v="146295139"/>
    <n v="35689980"/>
    <n v="14251412"/>
    <n v="49941392"/>
    <x v="565"/>
  </r>
  <r>
    <s v="2006年度"/>
    <n v="39000"/>
    <x v="39"/>
    <n v="66801212"/>
    <n v="28547016"/>
    <n v="11884234"/>
    <n v="40431250"/>
    <x v="566"/>
  </r>
  <r>
    <s v="2006年度"/>
    <n v="40000"/>
    <x v="40"/>
    <n v="553161222"/>
    <n v="49137902"/>
    <n v="38673957"/>
    <n v="87811859"/>
    <x v="567"/>
  </r>
  <r>
    <s v="2006年度"/>
    <n v="41000"/>
    <x v="41"/>
    <n v="87777215"/>
    <n v="31001270"/>
    <n v="4937568"/>
    <n v="35938838"/>
    <x v="568"/>
  </r>
  <r>
    <s v="2006年度"/>
    <n v="42000"/>
    <x v="42"/>
    <n v="115663539"/>
    <n v="59142760"/>
    <n v="18193940"/>
    <n v="77336700"/>
    <x v="569"/>
  </r>
  <r>
    <s v="2006年度"/>
    <n v="43000"/>
    <x v="43"/>
    <n v="169668763"/>
    <n v="50588684"/>
    <n v="19968626"/>
    <n v="70557310"/>
    <x v="570"/>
  </r>
  <r>
    <s v="2006年度"/>
    <n v="44000"/>
    <x v="44"/>
    <n v="121190123"/>
    <n v="50586113"/>
    <n v="16001163"/>
    <n v="66587276"/>
    <x v="571"/>
  </r>
  <r>
    <s v="2006年度"/>
    <n v="45000"/>
    <x v="45"/>
    <n v="100480781"/>
    <n v="41593155"/>
    <n v="22122532"/>
    <n v="63715687"/>
    <x v="572"/>
  </r>
  <r>
    <s v="2006年度"/>
    <n v="46000"/>
    <x v="46"/>
    <n v="149738013"/>
    <n v="90156490"/>
    <n v="26496894"/>
    <n v="116653384"/>
    <x v="573"/>
  </r>
  <r>
    <s v="2006年度"/>
    <n v="47000"/>
    <x v="47"/>
    <n v="104772411"/>
    <n v="104207456"/>
    <n v="11845310"/>
    <n v="116052766"/>
    <x v="574"/>
  </r>
  <r>
    <s v="2005年度"/>
    <s v="00000"/>
    <x v="0"/>
    <n v="17137359915"/>
    <n v="2324333690"/>
    <n v="1185658337"/>
    <n v="3509992027"/>
    <x v="575"/>
  </r>
  <r>
    <s v="2005年度"/>
    <s v="01000"/>
    <x v="1"/>
    <n v="550878607"/>
    <n v="214724061"/>
    <n v="69047383"/>
    <n v="283771444"/>
    <x v="576"/>
  </r>
  <r>
    <s v="2005年度"/>
    <s v="02000"/>
    <x v="2"/>
    <n v="137152548"/>
    <n v="51675797"/>
    <n v="14844269"/>
    <n v="66520066"/>
    <x v="577"/>
  </r>
  <r>
    <s v="2005年度"/>
    <s v="03000"/>
    <x v="3"/>
    <n v="124105114"/>
    <n v="44312331"/>
    <n v="19987871"/>
    <n v="64300202"/>
    <x v="578"/>
  </r>
  <r>
    <s v="2005年度"/>
    <s v="04000"/>
    <x v="4"/>
    <n v="251974669"/>
    <n v="35474134"/>
    <n v="13053408"/>
    <n v="48527542"/>
    <x v="579"/>
  </r>
  <r>
    <s v="2005年度"/>
    <s v="05000"/>
    <x v="5"/>
    <n v="99872402"/>
    <n v="48027253"/>
    <n v="22428155"/>
    <n v="70455408"/>
    <x v="580"/>
  </r>
  <r>
    <s v="2005年度"/>
    <s v="06000"/>
    <x v="6"/>
    <n v="110870657"/>
    <n v="25433801"/>
    <n v="18689518"/>
    <n v="44123319"/>
    <x v="581"/>
  </r>
  <r>
    <s v="2005年度"/>
    <s v="07000"/>
    <x v="7"/>
    <n v="222720067"/>
    <n v="48358587"/>
    <n v="22277730"/>
    <n v="70636317"/>
    <x v="582"/>
  </r>
  <r>
    <s v="2005年度"/>
    <s v="08000"/>
    <x v="8"/>
    <n v="353883640"/>
    <n v="37946784"/>
    <n v="26815198"/>
    <n v="64761982"/>
    <x v="583"/>
  </r>
  <r>
    <s v="2005年度"/>
    <s v="09000"/>
    <x v="9"/>
    <n v="250076234"/>
    <n v="34335088"/>
    <n v="24629058"/>
    <n v="58964146"/>
    <x v="584"/>
  </r>
  <r>
    <s v="2005年度"/>
    <n v="10000"/>
    <x v="10"/>
    <n v="228086352"/>
    <n v="26846095"/>
    <n v="15830890"/>
    <n v="42676985"/>
    <x v="585"/>
  </r>
  <r>
    <s v="2005年度"/>
    <n v="11000"/>
    <x v="11"/>
    <n v="681714603"/>
    <n v="33231266"/>
    <n v="27095951"/>
    <n v="60327217"/>
    <x v="586"/>
  </r>
  <r>
    <s v="2005年度"/>
    <n v="12000"/>
    <x v="12"/>
    <n v="635887242"/>
    <n v="40013501"/>
    <n v="38288970"/>
    <n v="78302471"/>
    <x v="587"/>
  </r>
  <r>
    <s v="2005年度"/>
    <n v="13000"/>
    <x v="13"/>
    <n v="4602717816"/>
    <n v="93640813"/>
    <n v="129228789"/>
    <n v="222869602"/>
    <x v="588"/>
  </r>
  <r>
    <s v="2005年度"/>
    <n v="14000"/>
    <x v="14"/>
    <n v="999746917"/>
    <n v="35761836"/>
    <n v="26369069"/>
    <n v="62130905"/>
    <x v="589"/>
  </r>
  <r>
    <s v="2005年度"/>
    <n v="15000"/>
    <x v="15"/>
    <n v="260229676"/>
    <n v="108393311"/>
    <n v="28586206"/>
    <n v="136979517"/>
    <x v="590"/>
  </r>
  <r>
    <s v="2005年度"/>
    <n v="16000"/>
    <x v="16"/>
    <n v="126824103"/>
    <n v="28702078"/>
    <n v="13288742"/>
    <n v="41990820"/>
    <x v="591"/>
  </r>
  <r>
    <s v="2005年度"/>
    <n v="17000"/>
    <x v="17"/>
    <n v="132178984"/>
    <n v="31418106"/>
    <n v="17142927"/>
    <n v="48561033"/>
    <x v="592"/>
  </r>
  <r>
    <s v="2005年度"/>
    <n v="18000"/>
    <x v="18"/>
    <n v="102624354"/>
    <n v="44543747"/>
    <n v="14199436"/>
    <n v="58743183"/>
    <x v="593"/>
  </r>
  <r>
    <s v="2005年度"/>
    <n v="19000"/>
    <x v="19"/>
    <n v="104761670"/>
    <n v="41887660"/>
    <n v="5219843"/>
    <n v="47107503"/>
    <x v="594"/>
  </r>
  <r>
    <s v="2005年度"/>
    <n v="20000"/>
    <x v="20"/>
    <n v="235752107"/>
    <n v="40494471"/>
    <n v="22386188"/>
    <n v="62880659"/>
    <x v="595"/>
  </r>
  <r>
    <s v="2005年度"/>
    <n v="21000"/>
    <x v="21"/>
    <n v="223025413"/>
    <n v="36943605"/>
    <n v="17344396"/>
    <n v="54288001"/>
    <x v="596"/>
  </r>
  <r>
    <s v="2005年度"/>
    <n v="22000"/>
    <x v="22"/>
    <n v="487120396"/>
    <n v="49434561"/>
    <n v="24631118"/>
    <n v="74065679"/>
    <x v="597"/>
  </r>
  <r>
    <s v="2005年度"/>
    <n v="23000"/>
    <x v="23"/>
    <n v="1088655335"/>
    <n v="61613556"/>
    <n v="35796250"/>
    <n v="97409806"/>
    <x v="598"/>
  </r>
  <r>
    <s v="2005年度"/>
    <n v="24000"/>
    <x v="24"/>
    <n v="227884058"/>
    <n v="35559596"/>
    <n v="10733755"/>
    <n v="46293351"/>
    <x v="599"/>
  </r>
  <r>
    <s v="2005年度"/>
    <n v="25000"/>
    <x v="25"/>
    <n v="156004089"/>
    <n v="22899676"/>
    <n v="12238383"/>
    <n v="35138059"/>
    <x v="600"/>
  </r>
  <r>
    <s v="2005年度"/>
    <n v="26000"/>
    <x v="26"/>
    <n v="299894736"/>
    <n v="24883137"/>
    <n v="15925564"/>
    <n v="40808701"/>
    <x v="601"/>
  </r>
  <r>
    <s v="2005年度"/>
    <n v="27000"/>
    <x v="27"/>
    <n v="1113377482"/>
    <n v="55952785"/>
    <n v="56410614"/>
    <n v="112363399"/>
    <x v="602"/>
  </r>
  <r>
    <s v="2005年度"/>
    <n v="28000"/>
    <x v="28"/>
    <n v="573396630"/>
    <n v="73663569"/>
    <n v="45193977"/>
    <n v="118857546"/>
    <x v="603"/>
  </r>
  <r>
    <s v="2005年度"/>
    <n v="29000"/>
    <x v="29"/>
    <n v="118164697"/>
    <n v="26274395"/>
    <n v="13723928"/>
    <n v="39998323"/>
    <x v="604"/>
  </r>
  <r>
    <s v="2005年度"/>
    <n v="30000"/>
    <x v="30"/>
    <n v="88355890"/>
    <n v="32913278"/>
    <n v="15094508"/>
    <n v="48007786"/>
    <x v="605"/>
  </r>
  <r>
    <s v="2005年度"/>
    <n v="31000"/>
    <x v="31"/>
    <n v="55872206"/>
    <n v="22381877"/>
    <n v="14402859"/>
    <n v="36784736"/>
    <x v="606"/>
  </r>
  <r>
    <s v="2005年度"/>
    <n v="32000"/>
    <x v="32"/>
    <n v="67274653"/>
    <n v="46895455"/>
    <n v="22086332"/>
    <n v="68981787"/>
    <x v="607"/>
  </r>
  <r>
    <s v="2005年度"/>
    <n v="33000"/>
    <x v="33"/>
    <n v="225030186"/>
    <n v="31612010"/>
    <n v="21531206"/>
    <n v="53143216"/>
    <x v="608"/>
  </r>
  <r>
    <s v="2005年度"/>
    <n v="34000"/>
    <x v="34"/>
    <n v="320810607"/>
    <n v="49286665"/>
    <n v="37382692"/>
    <n v="86669357"/>
    <x v="609"/>
  </r>
  <r>
    <s v="2005年度"/>
    <n v="35000"/>
    <x v="35"/>
    <n v="165523348"/>
    <n v="46591061"/>
    <n v="26599000"/>
    <n v="73190061"/>
    <x v="610"/>
  </r>
  <r>
    <s v="2005年度"/>
    <n v="36000"/>
    <x v="36"/>
    <n v="85162374"/>
    <n v="36303076"/>
    <n v="12831673"/>
    <n v="49134749"/>
    <x v="611"/>
  </r>
  <r>
    <s v="2005年度"/>
    <n v="37000"/>
    <x v="37"/>
    <n v="111691503"/>
    <n v="17949376"/>
    <n v="8941807"/>
    <n v="26891183"/>
    <x v="612"/>
  </r>
  <r>
    <s v="2005年度"/>
    <n v="38000"/>
    <x v="38"/>
    <n v="137211184"/>
    <n v="44301583"/>
    <n v="15493799"/>
    <n v="59795382"/>
    <x v="613"/>
  </r>
  <r>
    <s v="2005年度"/>
    <n v="39000"/>
    <x v="39"/>
    <n v="63877138"/>
    <n v="34588046"/>
    <n v="13751212"/>
    <n v="48339258"/>
    <x v="614"/>
  </r>
  <r>
    <s v="2005年度"/>
    <n v="40000"/>
    <x v="40"/>
    <n v="510135955"/>
    <n v="57318268"/>
    <n v="40645363"/>
    <n v="97963631"/>
    <x v="615"/>
  </r>
  <r>
    <s v="2005年度"/>
    <n v="41000"/>
    <x v="41"/>
    <n v="84636034"/>
    <n v="37037326"/>
    <n v="5956577"/>
    <n v="42993903"/>
    <x v="616"/>
  </r>
  <r>
    <s v="2005年度"/>
    <n v="42000"/>
    <x v="42"/>
    <n v="109424551"/>
    <n v="70215511"/>
    <n v="22522222"/>
    <n v="92737733"/>
    <x v="617"/>
  </r>
  <r>
    <s v="2005年度"/>
    <n v="43000"/>
    <x v="43"/>
    <n v="160825431"/>
    <n v="52977000"/>
    <n v="20474544"/>
    <n v="73451544"/>
    <x v="618"/>
  </r>
  <r>
    <s v="2005年度"/>
    <n v="44000"/>
    <x v="44"/>
    <n v="114017713"/>
    <n v="49600205"/>
    <n v="15972287"/>
    <n v="65572492"/>
    <x v="619"/>
  </r>
  <r>
    <s v="2005年度"/>
    <n v="45000"/>
    <x v="45"/>
    <n v="96661277"/>
    <n v="43612668"/>
    <n v="25923806"/>
    <n v="69536474"/>
    <x v="620"/>
  </r>
  <r>
    <s v="2005年度"/>
    <n v="46000"/>
    <x v="46"/>
    <n v="145444461"/>
    <n v="93390791"/>
    <n v="49479549"/>
    <n v="142870340"/>
    <x v="621"/>
  </r>
  <r>
    <s v="2005年度"/>
    <n v="47000"/>
    <x v="47"/>
    <n v="95824806"/>
    <n v="104913894"/>
    <n v="15161315"/>
    <n v="120075209"/>
    <x v="622"/>
  </r>
  <r>
    <s v="2004年度"/>
    <s v="00000"/>
    <x v="0"/>
    <n v="16306851211"/>
    <n v="2563301974"/>
    <n v="1250323326"/>
    <n v="3813625300"/>
    <x v="623"/>
  </r>
  <r>
    <s v="2004年度"/>
    <s v="01000"/>
    <x v="1"/>
    <n v="554099898"/>
    <n v="226059355"/>
    <n v="72264603"/>
    <n v="298323958"/>
    <x v="624"/>
  </r>
  <r>
    <s v="2004年度"/>
    <s v="02000"/>
    <x v="2"/>
    <n v="133756635"/>
    <n v="57536961"/>
    <n v="15852961"/>
    <n v="73389922"/>
    <x v="625"/>
  </r>
  <r>
    <s v="2004年度"/>
    <s v="03000"/>
    <x v="3"/>
    <n v="125768615"/>
    <n v="53132298"/>
    <n v="23031543"/>
    <n v="76163841"/>
    <x v="626"/>
  </r>
  <r>
    <s v="2004年度"/>
    <s v="04000"/>
    <x v="4"/>
    <n v="249128824"/>
    <n v="42511350"/>
    <n v="11696053"/>
    <n v="54207403"/>
    <x v="627"/>
  </r>
  <r>
    <s v="2004年度"/>
    <s v="05000"/>
    <x v="5"/>
    <n v="99058049"/>
    <n v="60055253"/>
    <n v="21799513"/>
    <n v="81854766"/>
    <x v="628"/>
  </r>
  <r>
    <s v="2004年度"/>
    <s v="06000"/>
    <x v="6"/>
    <n v="110939858"/>
    <n v="31174501"/>
    <n v="20385940"/>
    <n v="51560441"/>
    <x v="629"/>
  </r>
  <r>
    <s v="2004年度"/>
    <s v="07000"/>
    <x v="7"/>
    <n v="218183692"/>
    <n v="54443948"/>
    <n v="23619911"/>
    <n v="78063859"/>
    <x v="630"/>
  </r>
  <r>
    <s v="2004年度"/>
    <s v="08000"/>
    <x v="8"/>
    <n v="336659123"/>
    <n v="42214810"/>
    <n v="27020900"/>
    <n v="69235710"/>
    <x v="631"/>
  </r>
  <r>
    <s v="2004年度"/>
    <s v="09000"/>
    <x v="9"/>
    <n v="248820686"/>
    <n v="36503843"/>
    <n v="26836157"/>
    <n v="63340000"/>
    <x v="632"/>
  </r>
  <r>
    <s v="2004年度"/>
    <n v="10000"/>
    <x v="10"/>
    <n v="222802071"/>
    <n v="32218608"/>
    <n v="18609304"/>
    <n v="50827912"/>
    <x v="633"/>
  </r>
  <r>
    <s v="2004年度"/>
    <n v="11000"/>
    <x v="11"/>
    <n v="664996642"/>
    <n v="37423565"/>
    <n v="31080573"/>
    <n v="68504138"/>
    <x v="634"/>
  </r>
  <r>
    <s v="2004年度"/>
    <n v="12000"/>
    <x v="12"/>
    <n v="584609727"/>
    <n v="47144667"/>
    <n v="38857885"/>
    <n v="86002552"/>
    <x v="635"/>
  </r>
  <r>
    <s v="2004年度"/>
    <n v="13000"/>
    <x v="13"/>
    <n v="4236958739"/>
    <n v="106784042"/>
    <n v="118321973"/>
    <n v="225106015"/>
    <x v="636"/>
  </r>
  <r>
    <s v="2004年度"/>
    <n v="14000"/>
    <x v="14"/>
    <n v="974989314"/>
    <n v="37004234"/>
    <n v="28901741"/>
    <n v="65905975"/>
    <x v="637"/>
  </r>
  <r>
    <s v="2004年度"/>
    <n v="15000"/>
    <x v="15"/>
    <n v="252256589"/>
    <n v="100842516"/>
    <n v="51173592"/>
    <n v="152016108"/>
    <x v="638"/>
  </r>
  <r>
    <s v="2004年度"/>
    <n v="16000"/>
    <x v="16"/>
    <n v="119637690"/>
    <n v="30495929"/>
    <n v="15338178"/>
    <n v="45834107"/>
    <x v="639"/>
  </r>
  <r>
    <s v="2004年度"/>
    <n v="17000"/>
    <x v="17"/>
    <n v="129180684"/>
    <n v="36515434"/>
    <n v="17288187"/>
    <n v="53803621"/>
    <x v="640"/>
  </r>
  <r>
    <s v="2004年度"/>
    <n v="18000"/>
    <x v="18"/>
    <n v="102542231"/>
    <n v="42206413"/>
    <n v="14896055"/>
    <n v="57102468"/>
    <x v="641"/>
  </r>
  <r>
    <s v="2004年度"/>
    <n v="19000"/>
    <x v="19"/>
    <n v="103043289"/>
    <n v="47454977"/>
    <n v="6449795"/>
    <n v="53904772"/>
    <x v="642"/>
  </r>
  <r>
    <s v="2004年度"/>
    <n v="20000"/>
    <x v="20"/>
    <n v="233509723"/>
    <n v="44877046"/>
    <n v="25698877"/>
    <n v="70575923"/>
    <x v="643"/>
  </r>
  <r>
    <s v="2004年度"/>
    <n v="21000"/>
    <x v="21"/>
    <n v="217407317"/>
    <n v="45480061"/>
    <n v="22297828"/>
    <n v="67777889"/>
    <x v="644"/>
  </r>
  <r>
    <s v="2004年度"/>
    <n v="22000"/>
    <x v="22"/>
    <n v="469119248"/>
    <n v="56329854"/>
    <n v="26999294"/>
    <n v="83329148"/>
    <x v="645"/>
  </r>
  <r>
    <s v="2004年度"/>
    <n v="23000"/>
    <x v="23"/>
    <n v="1031802755"/>
    <n v="74579579"/>
    <n v="38236793"/>
    <n v="112816372"/>
    <x v="646"/>
  </r>
  <r>
    <s v="2004年度"/>
    <n v="24000"/>
    <x v="24"/>
    <n v="220331223"/>
    <n v="37500836"/>
    <n v="10263558"/>
    <n v="47764394"/>
    <x v="647"/>
  </r>
  <r>
    <s v="2004年度"/>
    <n v="25000"/>
    <x v="25"/>
    <n v="150397774"/>
    <n v="26807331"/>
    <n v="14346429"/>
    <n v="41153760"/>
    <x v="648"/>
  </r>
  <r>
    <s v="2004年度"/>
    <n v="26000"/>
    <x v="26"/>
    <n v="255467958"/>
    <n v="25140782"/>
    <n v="17553400"/>
    <n v="42694182"/>
    <x v="649"/>
  </r>
  <r>
    <s v="2004年度"/>
    <n v="27000"/>
    <x v="27"/>
    <n v="1055895777"/>
    <n v="67383210"/>
    <n v="56630337"/>
    <n v="124013547"/>
    <x v="650"/>
  </r>
  <r>
    <s v="2004年度"/>
    <n v="28000"/>
    <x v="28"/>
    <n v="538937144"/>
    <n v="78000493"/>
    <n v="49398741"/>
    <n v="127399234"/>
    <x v="651"/>
  </r>
  <r>
    <s v="2004年度"/>
    <n v="29000"/>
    <x v="29"/>
    <n v="117436298"/>
    <n v="27965222"/>
    <n v="12582677"/>
    <n v="40547899"/>
    <x v="652"/>
  </r>
  <r>
    <s v="2004年度"/>
    <n v="30000"/>
    <x v="30"/>
    <n v="90034880"/>
    <n v="36199604"/>
    <n v="16184808"/>
    <n v="52384412"/>
    <x v="653"/>
  </r>
  <r>
    <s v="2004年度"/>
    <n v="31000"/>
    <x v="31"/>
    <n v="56480372"/>
    <n v="26620452"/>
    <n v="15688020"/>
    <n v="42308472"/>
    <x v="654"/>
  </r>
  <r>
    <s v="2004年度"/>
    <n v="32000"/>
    <x v="32"/>
    <n v="65643235"/>
    <n v="52350431"/>
    <n v="23991825"/>
    <n v="76342256"/>
    <x v="655"/>
  </r>
  <r>
    <s v="2004年度"/>
    <n v="33000"/>
    <x v="33"/>
    <n v="196487949"/>
    <n v="37388869"/>
    <n v="22382104"/>
    <n v="59770973"/>
    <x v="656"/>
  </r>
  <r>
    <s v="2004年度"/>
    <n v="34000"/>
    <x v="34"/>
    <n v="296510359"/>
    <n v="53954099"/>
    <n v="45830446"/>
    <n v="99784545"/>
    <x v="657"/>
  </r>
  <r>
    <s v="2004年度"/>
    <n v="35000"/>
    <x v="35"/>
    <n v="154793891"/>
    <n v="53512570"/>
    <n v="30323819"/>
    <n v="83836389"/>
    <x v="658"/>
  </r>
  <r>
    <s v="2004年度"/>
    <n v="36000"/>
    <x v="36"/>
    <n v="84815859"/>
    <n v="38710305"/>
    <n v="12382221"/>
    <n v="51092526"/>
    <x v="659"/>
  </r>
  <r>
    <s v="2004年度"/>
    <n v="37000"/>
    <x v="37"/>
    <n v="107821305"/>
    <n v="16525476"/>
    <n v="11457714"/>
    <n v="27983190"/>
    <x v="660"/>
  </r>
  <r>
    <s v="2004年度"/>
    <n v="38000"/>
    <x v="38"/>
    <n v="132226731"/>
    <n v="46105390"/>
    <n v="18274376"/>
    <n v="64379766"/>
    <x v="661"/>
  </r>
  <r>
    <s v="2004年度"/>
    <n v="39000"/>
    <x v="39"/>
    <n v="63564996"/>
    <n v="46961008"/>
    <n v="14848064"/>
    <n v="61809072"/>
    <x v="662"/>
  </r>
  <r>
    <s v="2004年度"/>
    <n v="40000"/>
    <x v="40"/>
    <n v="500171798"/>
    <n v="63589614"/>
    <n v="40004874"/>
    <n v="103594488"/>
    <x v="663"/>
  </r>
  <r>
    <s v="2004年度"/>
    <n v="41000"/>
    <x v="41"/>
    <n v="84983530"/>
    <n v="41062697"/>
    <n v="7628296"/>
    <n v="48690993"/>
    <x v="664"/>
  </r>
  <r>
    <s v="2004年度"/>
    <n v="42000"/>
    <x v="42"/>
    <n v="109869450"/>
    <n v="76633500"/>
    <n v="22230380"/>
    <n v="98863880"/>
    <x v="665"/>
  </r>
  <r>
    <s v="2004年度"/>
    <n v="43000"/>
    <x v="43"/>
    <n v="162896076"/>
    <n v="56713459"/>
    <n v="20119459"/>
    <n v="76832918"/>
    <x v="666"/>
  </r>
  <r>
    <s v="2004年度"/>
    <n v="44000"/>
    <x v="44"/>
    <n v="109704152"/>
    <n v="51660111"/>
    <n v="16902990"/>
    <n v="68563101"/>
    <x v="667"/>
  </r>
  <r>
    <s v="2004年度"/>
    <n v="45000"/>
    <x v="45"/>
    <n v="94779280"/>
    <n v="47462728"/>
    <n v="25795163"/>
    <n v="73257891"/>
    <x v="668"/>
  </r>
  <r>
    <s v="2004年度"/>
    <n v="46000"/>
    <x v="46"/>
    <n v="142692165"/>
    <n v="101863962"/>
    <n v="30784316"/>
    <n v="132648278"/>
    <x v="669"/>
  </r>
  <r>
    <s v="2004年度"/>
    <n v="47000"/>
    <x v="47"/>
    <n v="95637610"/>
    <n v="110200581"/>
    <n v="18061653"/>
    <n v="128262234"/>
    <x v="670"/>
  </r>
  <r>
    <s v="2003年度"/>
    <s v="00000"/>
    <x v="0"/>
    <n v="15425989250"/>
    <n v="3028602428"/>
    <n v="1281655406"/>
    <n v="4310257834"/>
    <x v="671"/>
  </r>
  <r>
    <s v="2003年度"/>
    <s v="01000"/>
    <x v="1"/>
    <n v="546637948"/>
    <n v="268815154"/>
    <n v="68433239"/>
    <n v="337248393"/>
    <x v="672"/>
  </r>
  <r>
    <s v="2003年度"/>
    <s v="02000"/>
    <x v="2"/>
    <n v="131442498"/>
    <n v="69283841"/>
    <n v="16443184"/>
    <n v="85727025"/>
    <x v="673"/>
  </r>
  <r>
    <s v="2003年度"/>
    <s v="03000"/>
    <x v="3"/>
    <n v="123476259"/>
    <n v="64688074"/>
    <n v="24963388"/>
    <n v="89651462"/>
    <x v="674"/>
  </r>
  <r>
    <s v="2003年度"/>
    <s v="04000"/>
    <x v="4"/>
    <n v="245371990"/>
    <n v="42527478"/>
    <n v="16748690"/>
    <n v="59276168"/>
    <x v="675"/>
  </r>
  <r>
    <s v="2003年度"/>
    <s v="05000"/>
    <x v="5"/>
    <n v="97512462"/>
    <n v="73679010"/>
    <n v="21435528"/>
    <n v="95114538"/>
    <x v="676"/>
  </r>
  <r>
    <s v="2003年度"/>
    <s v="06000"/>
    <x v="6"/>
    <n v="107893994"/>
    <n v="41138822"/>
    <n v="24970448"/>
    <n v="66109270"/>
    <x v="677"/>
  </r>
  <r>
    <s v="2003年度"/>
    <s v="07000"/>
    <x v="7"/>
    <n v="210846378"/>
    <n v="65130084"/>
    <n v="26799763"/>
    <n v="91929847"/>
    <x v="678"/>
  </r>
  <r>
    <s v="2003年度"/>
    <s v="08000"/>
    <x v="8"/>
    <n v="320761405"/>
    <n v="47769512"/>
    <n v="30198863"/>
    <n v="77968375"/>
    <x v="679"/>
  </r>
  <r>
    <s v="2003年度"/>
    <s v="09000"/>
    <x v="9"/>
    <n v="225877905"/>
    <n v="44107970"/>
    <n v="25789131"/>
    <n v="69897101"/>
    <x v="680"/>
  </r>
  <r>
    <s v="2003年度"/>
    <n v="10000"/>
    <x v="10"/>
    <n v="209336076"/>
    <n v="40988438"/>
    <n v="19118950"/>
    <n v="60107388"/>
    <x v="681"/>
  </r>
  <r>
    <s v="2003年度"/>
    <n v="11000"/>
    <x v="11"/>
    <n v="633292981"/>
    <n v="47401098"/>
    <n v="31323503"/>
    <n v="78724601"/>
    <x v="682"/>
  </r>
  <r>
    <s v="2003年度"/>
    <n v="12000"/>
    <x v="12"/>
    <n v="555876262"/>
    <n v="59254012"/>
    <n v="41398973"/>
    <n v="100652985"/>
    <x v="683"/>
  </r>
  <r>
    <s v="2003年度"/>
    <n v="13000"/>
    <x v="13"/>
    <n v="3936024812"/>
    <n v="144472088"/>
    <n v="108535328"/>
    <n v="253007416"/>
    <x v="684"/>
  </r>
  <r>
    <s v="2003年度"/>
    <n v="14000"/>
    <x v="14"/>
    <n v="880703001"/>
    <n v="43293715"/>
    <n v="30390029"/>
    <n v="73683744"/>
    <x v="685"/>
  </r>
  <r>
    <s v="2003年度"/>
    <n v="15000"/>
    <x v="15"/>
    <n v="242825173"/>
    <n v="121709221"/>
    <n v="33733410"/>
    <n v="155442631"/>
    <x v="686"/>
  </r>
  <r>
    <s v="2003年度"/>
    <n v="16000"/>
    <x v="16"/>
    <n v="116520543"/>
    <n v="31979827"/>
    <n v="16505625"/>
    <n v="48485452"/>
    <x v="687"/>
  </r>
  <r>
    <s v="2003年度"/>
    <n v="17000"/>
    <x v="17"/>
    <n v="125987993"/>
    <n v="51202448"/>
    <n v="17657942"/>
    <n v="68860390"/>
    <x v="688"/>
  </r>
  <r>
    <s v="2003年度"/>
    <n v="18000"/>
    <x v="18"/>
    <n v="98482086"/>
    <n v="47695412"/>
    <n v="16185304"/>
    <n v="63880716"/>
    <x v="689"/>
  </r>
  <r>
    <s v="2003年度"/>
    <n v="19000"/>
    <x v="19"/>
    <n v="93217738"/>
    <n v="58079487"/>
    <n v="6853189"/>
    <n v="64932676"/>
    <x v="690"/>
  </r>
  <r>
    <s v="2003年度"/>
    <n v="20000"/>
    <x v="20"/>
    <n v="224361225"/>
    <n v="50429450"/>
    <n v="28960465"/>
    <n v="79389915"/>
    <x v="691"/>
  </r>
  <r>
    <s v="2003年度"/>
    <n v="21000"/>
    <x v="21"/>
    <n v="209845108"/>
    <n v="63346360"/>
    <n v="24461401"/>
    <n v="87807761"/>
    <x v="692"/>
  </r>
  <r>
    <s v="2003年度"/>
    <n v="22000"/>
    <x v="22"/>
    <n v="452094807"/>
    <n v="64532228"/>
    <n v="28462020"/>
    <n v="92994248"/>
    <x v="693"/>
  </r>
  <r>
    <s v="2003年度"/>
    <n v="23000"/>
    <x v="23"/>
    <n v="1008530891"/>
    <n v="85030129"/>
    <n v="37938498"/>
    <n v="122968627"/>
    <x v="694"/>
  </r>
  <r>
    <s v="2003年度"/>
    <n v="24000"/>
    <x v="24"/>
    <n v="208908411"/>
    <n v="47278916"/>
    <n v="11314613"/>
    <n v="58593529"/>
    <x v="695"/>
  </r>
  <r>
    <s v="2003年度"/>
    <n v="25000"/>
    <x v="25"/>
    <n v="141458579"/>
    <n v="32086142"/>
    <n v="14412432"/>
    <n v="46498574"/>
    <x v="696"/>
  </r>
  <r>
    <s v="2003年度"/>
    <n v="26000"/>
    <x v="26"/>
    <n v="249199289"/>
    <n v="28582312"/>
    <n v="16904017"/>
    <n v="45486329"/>
    <x v="697"/>
  </r>
  <r>
    <s v="2003年度"/>
    <n v="27000"/>
    <x v="27"/>
    <n v="990905440"/>
    <n v="69173398"/>
    <n v="50645495"/>
    <n v="119818893"/>
    <x v="698"/>
  </r>
  <r>
    <s v="2003年度"/>
    <n v="28000"/>
    <x v="28"/>
    <n v="501143288"/>
    <n v="89312884"/>
    <n v="52942520"/>
    <n v="142255404"/>
    <x v="699"/>
  </r>
  <r>
    <s v="2003年度"/>
    <n v="29000"/>
    <x v="29"/>
    <n v="113016309"/>
    <n v="34516162"/>
    <n v="13821498"/>
    <n v="48337660"/>
    <x v="700"/>
  </r>
  <r>
    <s v="2003年度"/>
    <n v="30000"/>
    <x v="30"/>
    <n v="87101408"/>
    <n v="42828750"/>
    <n v="15506739"/>
    <n v="58335489"/>
    <x v="701"/>
  </r>
  <r>
    <s v="2003年度"/>
    <n v="31000"/>
    <x v="31"/>
    <n v="53957426"/>
    <n v="31709870"/>
    <n v="16966273"/>
    <n v="48676143"/>
    <x v="702"/>
  </r>
  <r>
    <s v="2003年度"/>
    <n v="32000"/>
    <x v="32"/>
    <n v="65928117"/>
    <n v="65335855"/>
    <n v="25755563"/>
    <n v="91091418"/>
    <x v="703"/>
  </r>
  <r>
    <s v="2003年度"/>
    <n v="33000"/>
    <x v="33"/>
    <n v="186209929"/>
    <n v="43981632"/>
    <n v="25548608"/>
    <n v="69530240"/>
    <x v="704"/>
  </r>
  <r>
    <s v="2003年度"/>
    <n v="34000"/>
    <x v="34"/>
    <n v="281008938"/>
    <n v="67008071"/>
    <n v="46528690"/>
    <n v="113536761"/>
    <x v="705"/>
  </r>
  <r>
    <s v="2003年度"/>
    <n v="35000"/>
    <x v="35"/>
    <n v="140933459"/>
    <n v="63144298"/>
    <n v="30991375"/>
    <n v="94135673"/>
    <x v="706"/>
  </r>
  <r>
    <s v="2003年度"/>
    <n v="36000"/>
    <x v="36"/>
    <n v="83582506"/>
    <n v="48227798"/>
    <n v="12569661"/>
    <n v="60797459"/>
    <x v="707"/>
  </r>
  <r>
    <s v="2003年度"/>
    <n v="37000"/>
    <x v="37"/>
    <n v="102315461"/>
    <n v="20655762"/>
    <n v="13550963"/>
    <n v="34206725"/>
    <x v="708"/>
  </r>
  <r>
    <s v="2003年度"/>
    <n v="38000"/>
    <x v="38"/>
    <n v="125856757"/>
    <n v="49313852"/>
    <n v="16360661"/>
    <n v="65674513"/>
    <x v="709"/>
  </r>
  <r>
    <s v="2003年度"/>
    <n v="39000"/>
    <x v="39"/>
    <n v="63663738"/>
    <n v="55440392"/>
    <n v="15425867"/>
    <n v="70866259"/>
    <x v="710"/>
  </r>
  <r>
    <s v="2003年度"/>
    <n v="40000"/>
    <x v="40"/>
    <n v="469018272"/>
    <n v="67937513"/>
    <n v="39883326"/>
    <n v="107820839"/>
    <x v="711"/>
  </r>
  <r>
    <s v="2003年度"/>
    <n v="41000"/>
    <x v="41"/>
    <n v="81241183"/>
    <n v="37195008"/>
    <n v="14446947"/>
    <n v="51641955"/>
    <x v="712"/>
  </r>
  <r>
    <s v="2003年度"/>
    <n v="42000"/>
    <x v="42"/>
    <n v="107182423"/>
    <n v="88082150"/>
    <n v="25311584"/>
    <n v="113393734"/>
    <x v="713"/>
  </r>
  <r>
    <s v="2003年度"/>
    <n v="43000"/>
    <x v="43"/>
    <n v="151101903"/>
    <n v="62468330"/>
    <n v="23914937"/>
    <n v="86383267"/>
    <x v="714"/>
  </r>
  <r>
    <s v="2003年度"/>
    <n v="44000"/>
    <x v="44"/>
    <n v="102805294"/>
    <n v="57020404"/>
    <n v="17657518"/>
    <n v="74677922"/>
    <x v="715"/>
  </r>
  <r>
    <s v="2003年度"/>
    <n v="45000"/>
    <x v="45"/>
    <n v="91708754"/>
    <n v="53025159"/>
    <n v="27987106"/>
    <n v="81012265"/>
    <x v="716"/>
  </r>
  <r>
    <s v="2003年度"/>
    <n v="46000"/>
    <x v="46"/>
    <n v="138524795"/>
    <n v="117841323"/>
    <n v="34458027"/>
    <n v="152299350"/>
    <x v="717"/>
  </r>
  <r>
    <s v="2003年度"/>
    <n v="47000"/>
    <x v="47"/>
    <n v="92298036"/>
    <n v="129882589"/>
    <n v="21444115"/>
    <n v="151326704"/>
    <x v="718"/>
  </r>
  <r>
    <s v="2002年度"/>
    <s v="00000"/>
    <x v="0"/>
    <n v="15556230323"/>
    <n v="2930494240"/>
    <n v="1586739385"/>
    <n v="4517233625"/>
    <x v="719"/>
  </r>
  <r>
    <s v="2002年度"/>
    <s v="01000"/>
    <x v="1"/>
    <n v="558335310"/>
    <n v="255795504"/>
    <n v="97813739"/>
    <n v="353609243"/>
    <x v="720"/>
  </r>
  <r>
    <s v="2002年度"/>
    <s v="02000"/>
    <x v="2"/>
    <n v="127263907"/>
    <n v="73864831"/>
    <n v="23721747"/>
    <n v="97586578"/>
    <x v="721"/>
  </r>
  <r>
    <s v="2002年度"/>
    <s v="03000"/>
    <x v="3"/>
    <n v="121875845"/>
    <n v="68348074"/>
    <n v="32481707"/>
    <n v="100829781"/>
    <x v="722"/>
  </r>
  <r>
    <s v="2002年度"/>
    <s v="04000"/>
    <x v="4"/>
    <n v="243472528"/>
    <n v="42628084"/>
    <n v="20889314"/>
    <n v="63517398"/>
    <x v="723"/>
  </r>
  <r>
    <s v="2002年度"/>
    <s v="05000"/>
    <x v="5"/>
    <n v="97266679"/>
    <n v="67783577"/>
    <n v="25534376"/>
    <n v="93317953"/>
    <x v="724"/>
  </r>
  <r>
    <s v="2002年度"/>
    <s v="06000"/>
    <x v="6"/>
    <n v="106477026"/>
    <n v="40102382"/>
    <n v="24090059"/>
    <n v="64192441"/>
    <x v="725"/>
  </r>
  <r>
    <s v="2002年度"/>
    <s v="07000"/>
    <x v="7"/>
    <n v="210856634"/>
    <n v="59724963"/>
    <n v="32234283"/>
    <n v="91959246"/>
    <x v="726"/>
  </r>
  <r>
    <s v="2002年度"/>
    <s v="08000"/>
    <x v="8"/>
    <n v="306873003"/>
    <n v="43227155"/>
    <n v="38400194"/>
    <n v="81627349"/>
    <x v="727"/>
  </r>
  <r>
    <s v="2002年度"/>
    <s v="09000"/>
    <x v="9"/>
    <n v="218669482"/>
    <n v="45924097"/>
    <n v="29551562"/>
    <n v="75475659"/>
    <x v="728"/>
  </r>
  <r>
    <s v="2002年度"/>
    <n v="10000"/>
    <x v="10"/>
    <n v="212343828"/>
    <n v="41661229"/>
    <n v="26299114"/>
    <n v="67960343"/>
    <x v="729"/>
  </r>
  <r>
    <s v="2002年度"/>
    <n v="11000"/>
    <x v="11"/>
    <n v="618667484"/>
    <n v="41571789"/>
    <n v="48512672"/>
    <n v="90084461"/>
    <x v="730"/>
  </r>
  <r>
    <s v="2002年度"/>
    <n v="12000"/>
    <x v="12"/>
    <n v="559272671"/>
    <n v="58994478"/>
    <n v="53504084"/>
    <n v="112498562"/>
    <x v="731"/>
  </r>
  <r>
    <s v="2002年度"/>
    <n v="13000"/>
    <x v="13"/>
    <n v="4075330936"/>
    <n v="109061742"/>
    <n v="120334643"/>
    <n v="229396385"/>
    <x v="732"/>
  </r>
  <r>
    <s v="2002年度"/>
    <n v="14000"/>
    <x v="14"/>
    <n v="884406393"/>
    <n v="40719732"/>
    <n v="46189197"/>
    <n v="86908929"/>
    <x v="733"/>
  </r>
  <r>
    <s v="2002年度"/>
    <n v="15000"/>
    <x v="15"/>
    <n v="244262166"/>
    <n v="116245178"/>
    <n v="38467422"/>
    <n v="154712600"/>
    <x v="734"/>
  </r>
  <r>
    <s v="2002年度"/>
    <n v="16000"/>
    <x v="16"/>
    <n v="114211889"/>
    <n v="37839200"/>
    <n v="17895463"/>
    <n v="55734663"/>
    <x v="735"/>
  </r>
  <r>
    <s v="2002年度"/>
    <n v="17000"/>
    <x v="17"/>
    <n v="126733247"/>
    <n v="49950618"/>
    <n v="20638640"/>
    <n v="70589258"/>
    <x v="736"/>
  </r>
  <r>
    <s v="2002年度"/>
    <n v="18000"/>
    <x v="18"/>
    <n v="101044397"/>
    <n v="41941576"/>
    <n v="17284890"/>
    <n v="59226466"/>
    <x v="737"/>
  </r>
  <r>
    <s v="2002年度"/>
    <n v="19000"/>
    <x v="19"/>
    <n v="91498420"/>
    <n v="52789334"/>
    <n v="9901900"/>
    <n v="62691234"/>
    <x v="738"/>
  </r>
  <r>
    <s v="2002年度"/>
    <n v="20000"/>
    <x v="20"/>
    <n v="225350634"/>
    <n v="57181752"/>
    <n v="35275408"/>
    <n v="92457160"/>
    <x v="739"/>
  </r>
  <r>
    <s v="2002年度"/>
    <n v="21000"/>
    <x v="21"/>
    <n v="210924710"/>
    <n v="61281577"/>
    <n v="32886130"/>
    <n v="94167707"/>
    <x v="740"/>
  </r>
  <r>
    <s v="2002年度"/>
    <n v="22000"/>
    <x v="22"/>
    <n v="439358500"/>
    <n v="63384510"/>
    <n v="33127163"/>
    <n v="96511673"/>
    <x v="741"/>
  </r>
  <r>
    <s v="2002年度"/>
    <n v="23000"/>
    <x v="23"/>
    <n v="999456509"/>
    <n v="78487912"/>
    <n v="49768572"/>
    <n v="128256484"/>
    <x v="742"/>
  </r>
  <r>
    <s v="2002年度"/>
    <n v="24000"/>
    <x v="24"/>
    <n v="204251554"/>
    <n v="43333759"/>
    <n v="13882317"/>
    <n v="57216076"/>
    <x v="743"/>
  </r>
  <r>
    <s v="2002年度"/>
    <n v="25000"/>
    <x v="25"/>
    <n v="136835922"/>
    <n v="27666850"/>
    <n v="19690581"/>
    <n v="47357431"/>
    <x v="744"/>
  </r>
  <r>
    <s v="2002年度"/>
    <n v="26000"/>
    <x v="26"/>
    <n v="254206862"/>
    <n v="25679047"/>
    <n v="21989386"/>
    <n v="47668433"/>
    <x v="745"/>
  </r>
  <r>
    <s v="2002年度"/>
    <n v="27000"/>
    <x v="27"/>
    <n v="1006953687"/>
    <n v="78981697"/>
    <n v="70228564"/>
    <n v="149210261"/>
    <x v="746"/>
  </r>
  <r>
    <s v="2002年度"/>
    <n v="28000"/>
    <x v="28"/>
    <n v="516069807"/>
    <n v="81028202"/>
    <n v="65959188"/>
    <n v="146987390"/>
    <x v="747"/>
  </r>
  <r>
    <s v="2002年度"/>
    <n v="29000"/>
    <x v="29"/>
    <n v="108647393"/>
    <n v="31727744"/>
    <n v="15309397"/>
    <n v="47037141"/>
    <x v="748"/>
  </r>
  <r>
    <s v="2002年度"/>
    <n v="30000"/>
    <x v="30"/>
    <n v="87707711"/>
    <n v="43584267"/>
    <n v="16998785"/>
    <n v="60583052"/>
    <x v="749"/>
  </r>
  <r>
    <s v="2002年度"/>
    <n v="31000"/>
    <x v="31"/>
    <n v="55021544"/>
    <n v="31549388"/>
    <n v="18663281"/>
    <n v="50212669"/>
    <x v="750"/>
  </r>
  <r>
    <s v="2002年度"/>
    <n v="32000"/>
    <x v="32"/>
    <n v="67212947"/>
    <n v="68340604"/>
    <n v="27802225"/>
    <n v="96142829"/>
    <x v="751"/>
  </r>
  <r>
    <s v="2002年度"/>
    <n v="33000"/>
    <x v="33"/>
    <n v="181614763"/>
    <n v="41813932"/>
    <n v="26608789"/>
    <n v="68422721"/>
    <x v="752"/>
  </r>
  <r>
    <s v="2002年度"/>
    <n v="34000"/>
    <x v="34"/>
    <n v="278301676"/>
    <n v="60910942"/>
    <n v="56038424"/>
    <n v="116949366"/>
    <x v="753"/>
  </r>
  <r>
    <s v="2002年度"/>
    <n v="35000"/>
    <x v="35"/>
    <n v="145330182"/>
    <n v="57958734"/>
    <n v="33006330"/>
    <n v="90965064"/>
    <x v="754"/>
  </r>
  <r>
    <s v="2002年度"/>
    <n v="36000"/>
    <x v="36"/>
    <n v="82054338"/>
    <n v="49852675"/>
    <n v="15960997"/>
    <n v="65813672"/>
    <x v="755"/>
  </r>
  <r>
    <s v="2002年度"/>
    <n v="37000"/>
    <x v="37"/>
    <n v="103120295"/>
    <n v="23029815"/>
    <n v="17400219"/>
    <n v="40430034"/>
    <x v="756"/>
  </r>
  <r>
    <s v="2002年度"/>
    <n v="38000"/>
    <x v="38"/>
    <n v="127647130"/>
    <n v="52138579"/>
    <n v="20696698"/>
    <n v="72835277"/>
    <x v="757"/>
  </r>
  <r>
    <s v="2002年度"/>
    <n v="39000"/>
    <x v="39"/>
    <n v="65260178"/>
    <n v="55186893"/>
    <n v="18013509"/>
    <n v="73200402"/>
    <x v="758"/>
  </r>
  <r>
    <s v="2002年度"/>
    <n v="40000"/>
    <x v="40"/>
    <n v="472518695"/>
    <n v="63500828"/>
    <n v="59490234"/>
    <n v="122991062"/>
    <x v="759"/>
  </r>
  <r>
    <s v="2002年度"/>
    <n v="41000"/>
    <x v="41"/>
    <n v="81599206"/>
    <n v="36709444"/>
    <n v="18596108"/>
    <n v="55305552"/>
    <x v="760"/>
  </r>
  <r>
    <s v="2002年度"/>
    <n v="42000"/>
    <x v="42"/>
    <n v="110001610"/>
    <n v="91060343"/>
    <n v="30693833"/>
    <n v="121754176"/>
    <x v="761"/>
  </r>
  <r>
    <s v="2002年度"/>
    <n v="43000"/>
    <x v="43"/>
    <n v="150950792"/>
    <n v="57269158"/>
    <n v="26988040"/>
    <n v="84257198"/>
    <x v="762"/>
  </r>
  <r>
    <s v="2002年度"/>
    <n v="44000"/>
    <x v="44"/>
    <n v="102561714"/>
    <n v="62960086"/>
    <n v="24852813"/>
    <n v="87812899"/>
    <x v="763"/>
  </r>
  <r>
    <s v="2002年度"/>
    <n v="45000"/>
    <x v="45"/>
    <n v="92685235"/>
    <n v="54855310"/>
    <n v="32354146"/>
    <n v="87209456"/>
    <x v="764"/>
  </r>
  <r>
    <s v="2002年度"/>
    <n v="46000"/>
    <x v="46"/>
    <n v="139055592"/>
    <n v="120551879"/>
    <n v="33870684"/>
    <n v="154422563"/>
    <x v="765"/>
  </r>
  <r>
    <s v="2002年度"/>
    <n v="47000"/>
    <x v="47"/>
    <n v="92669292"/>
    <n v="122294770"/>
    <n v="26842558"/>
    <n v="149137328"/>
    <x v="766"/>
  </r>
  <r>
    <s v="2001年度"/>
    <s v="00000"/>
    <x v="0"/>
    <n v="17406306441"/>
    <n v="3694478046"/>
    <n v="1957688287"/>
    <n v="5652166333"/>
    <x v="767"/>
  </r>
  <r>
    <s v="2001年度"/>
    <s v="01000"/>
    <x v="1"/>
    <n v="604409322"/>
    <n v="326820631"/>
    <n v="118516514"/>
    <n v="445337145"/>
    <x v="768"/>
  </r>
  <r>
    <s v="2001年度"/>
    <s v="02000"/>
    <x v="2"/>
    <n v="144355910"/>
    <n v="94826211"/>
    <n v="28262182"/>
    <n v="123088393"/>
    <x v="769"/>
  </r>
  <r>
    <s v="2001年度"/>
    <s v="03000"/>
    <x v="3"/>
    <n v="136881767"/>
    <n v="94132166"/>
    <n v="36448654"/>
    <n v="130580820"/>
    <x v="770"/>
  </r>
  <r>
    <s v="2001年度"/>
    <s v="04000"/>
    <x v="4"/>
    <n v="268593505"/>
    <n v="54656627"/>
    <n v="27615896"/>
    <n v="82272523"/>
    <x v="771"/>
  </r>
  <r>
    <s v="2001年度"/>
    <s v="05000"/>
    <x v="5"/>
    <n v="111643394"/>
    <n v="94304260"/>
    <n v="29537003"/>
    <n v="123841263"/>
    <x v="772"/>
  </r>
  <r>
    <s v="2001年度"/>
    <s v="06000"/>
    <x v="6"/>
    <n v="122916953"/>
    <n v="56531771"/>
    <n v="31356646"/>
    <n v="87888417"/>
    <x v="773"/>
  </r>
  <r>
    <s v="2001年度"/>
    <s v="07000"/>
    <x v="7"/>
    <n v="239517373"/>
    <n v="81572124"/>
    <n v="37282757"/>
    <n v="118854881"/>
    <x v="774"/>
  </r>
  <r>
    <s v="2001年度"/>
    <s v="08000"/>
    <x v="8"/>
    <n v="352328094"/>
    <n v="57039668"/>
    <n v="48201653"/>
    <n v="105241321"/>
    <x v="775"/>
  </r>
  <r>
    <s v="2001年度"/>
    <s v="09000"/>
    <x v="9"/>
    <n v="246079727"/>
    <n v="60433035"/>
    <n v="36340509"/>
    <n v="96773544"/>
    <x v="776"/>
  </r>
  <r>
    <s v="2001年度"/>
    <n v="10000"/>
    <x v="10"/>
    <n v="240642832"/>
    <n v="51976071"/>
    <n v="30933734"/>
    <n v="82909805"/>
    <x v="777"/>
  </r>
  <r>
    <s v="2001年度"/>
    <n v="11000"/>
    <x v="11"/>
    <n v="689697451"/>
    <n v="56943404"/>
    <n v="65194309"/>
    <n v="122137713"/>
    <x v="778"/>
  </r>
  <r>
    <s v="2001年度"/>
    <n v="12000"/>
    <x v="12"/>
    <n v="624092795"/>
    <n v="69387231"/>
    <n v="67942124"/>
    <n v="137329355"/>
    <x v="779"/>
  </r>
  <r>
    <s v="2001年度"/>
    <n v="13000"/>
    <x v="13"/>
    <n v="4400914285"/>
    <n v="127710384"/>
    <n v="132015826"/>
    <n v="259726210"/>
    <x v="780"/>
  </r>
  <r>
    <s v="2001年度"/>
    <n v="14000"/>
    <x v="14"/>
    <n v="1013575183"/>
    <n v="51113911"/>
    <n v="68982995"/>
    <n v="120096906"/>
    <x v="781"/>
  </r>
  <r>
    <s v="2001年度"/>
    <n v="15000"/>
    <x v="15"/>
    <n v="276736749"/>
    <n v="151570878"/>
    <n v="48437162"/>
    <n v="200008040"/>
    <x v="782"/>
  </r>
  <r>
    <s v="2001年度"/>
    <n v="16000"/>
    <x v="16"/>
    <n v="130843292"/>
    <n v="48341260"/>
    <n v="21549854"/>
    <n v="69891114"/>
    <x v="783"/>
  </r>
  <r>
    <s v="2001年度"/>
    <n v="17000"/>
    <x v="17"/>
    <n v="144296650"/>
    <n v="66924998"/>
    <n v="21875697"/>
    <n v="88800695"/>
    <x v="784"/>
  </r>
  <r>
    <s v="2001年度"/>
    <n v="18000"/>
    <x v="18"/>
    <n v="118520612"/>
    <n v="56654438"/>
    <n v="20620545"/>
    <n v="77274983"/>
    <x v="785"/>
  </r>
  <r>
    <s v="2001年度"/>
    <n v="19000"/>
    <x v="19"/>
    <n v="110782887"/>
    <n v="65847559"/>
    <n v="13073588"/>
    <n v="78921147"/>
    <x v="786"/>
  </r>
  <r>
    <s v="2001年度"/>
    <n v="20000"/>
    <x v="20"/>
    <n v="270747204"/>
    <n v="87093430"/>
    <n v="42562080"/>
    <n v="129655510"/>
    <x v="787"/>
  </r>
  <r>
    <s v="2001年度"/>
    <n v="21000"/>
    <x v="21"/>
    <n v="245279320"/>
    <n v="75504974"/>
    <n v="37489183"/>
    <n v="112994157"/>
    <x v="788"/>
  </r>
  <r>
    <s v="2001年度"/>
    <n v="22000"/>
    <x v="22"/>
    <n v="493155061"/>
    <n v="77616594"/>
    <n v="41618263"/>
    <n v="119234857"/>
    <x v="789"/>
  </r>
  <r>
    <s v="2001年度"/>
    <n v="23000"/>
    <x v="23"/>
    <n v="1089777923"/>
    <n v="90182300"/>
    <n v="66983930"/>
    <n v="157166230"/>
    <x v="790"/>
  </r>
  <r>
    <s v="2001年度"/>
    <n v="24000"/>
    <x v="24"/>
    <n v="232310772"/>
    <n v="55397652"/>
    <n v="20178471"/>
    <n v="75576123"/>
    <x v="791"/>
  </r>
  <r>
    <s v="2001年度"/>
    <n v="25000"/>
    <x v="25"/>
    <n v="167814911"/>
    <n v="36628625"/>
    <n v="24752582"/>
    <n v="61381207"/>
    <x v="792"/>
  </r>
  <r>
    <s v="2001年度"/>
    <n v="26000"/>
    <x v="26"/>
    <n v="312621248"/>
    <n v="34424667"/>
    <n v="26075152"/>
    <n v="60499819"/>
    <x v="793"/>
  </r>
  <r>
    <s v="2001年度"/>
    <n v="27000"/>
    <x v="27"/>
    <n v="1134469252"/>
    <n v="90195954"/>
    <n v="100597654"/>
    <n v="190793608"/>
    <x v="794"/>
  </r>
  <r>
    <s v="2001年度"/>
    <n v="28000"/>
    <x v="28"/>
    <n v="589668864"/>
    <n v="103756911"/>
    <n v="80143609"/>
    <n v="183900520"/>
    <x v="795"/>
  </r>
  <r>
    <s v="2001年度"/>
    <n v="29000"/>
    <x v="29"/>
    <n v="129699583"/>
    <n v="35644355"/>
    <n v="20867176"/>
    <n v="56511531"/>
    <x v="796"/>
  </r>
  <r>
    <s v="2001年度"/>
    <n v="30000"/>
    <x v="30"/>
    <n v="101570032"/>
    <n v="52329998"/>
    <n v="21504738"/>
    <n v="73834736"/>
    <x v="797"/>
  </r>
  <r>
    <s v="2001年度"/>
    <n v="31000"/>
    <x v="31"/>
    <n v="62720383"/>
    <n v="42201275"/>
    <n v="23713853"/>
    <n v="65915128"/>
    <x v="798"/>
  </r>
  <r>
    <s v="2001年度"/>
    <n v="32000"/>
    <x v="32"/>
    <n v="76531513"/>
    <n v="87870583"/>
    <n v="33045643"/>
    <n v="120916226"/>
    <x v="799"/>
  </r>
  <r>
    <s v="2001年度"/>
    <n v="33000"/>
    <x v="33"/>
    <n v="212316654"/>
    <n v="55029278"/>
    <n v="33118961"/>
    <n v="88148239"/>
    <x v="800"/>
  </r>
  <r>
    <s v="2001年度"/>
    <n v="34000"/>
    <x v="34"/>
    <n v="317502128"/>
    <n v="80408316"/>
    <n v="66513962"/>
    <n v="146922278"/>
    <x v="801"/>
  </r>
  <r>
    <s v="2001年度"/>
    <n v="35000"/>
    <x v="35"/>
    <n v="170034806"/>
    <n v="67888266"/>
    <n v="34404711"/>
    <n v="102292977"/>
    <x v="802"/>
  </r>
  <r>
    <s v="2001年度"/>
    <n v="36000"/>
    <x v="36"/>
    <n v="91784628"/>
    <n v="65851377"/>
    <n v="18589289"/>
    <n v="84440666"/>
    <x v="803"/>
  </r>
  <r>
    <s v="2001年度"/>
    <n v="37000"/>
    <x v="37"/>
    <n v="121638993"/>
    <n v="27038034"/>
    <n v="22110711"/>
    <n v="49148745"/>
    <x v="804"/>
  </r>
  <r>
    <s v="2001年度"/>
    <n v="38000"/>
    <x v="38"/>
    <n v="148307498"/>
    <n v="62409227"/>
    <n v="25769456"/>
    <n v="88178683"/>
    <x v="805"/>
  </r>
  <r>
    <s v="2001年度"/>
    <n v="39000"/>
    <x v="39"/>
    <n v="74188001"/>
    <n v="72142122"/>
    <n v="21419935"/>
    <n v="93562057"/>
    <x v="806"/>
  </r>
  <r>
    <s v="2001年度"/>
    <n v="40000"/>
    <x v="40"/>
    <n v="523695361"/>
    <n v="79546638"/>
    <n v="75460753"/>
    <n v="155007391"/>
    <x v="807"/>
  </r>
  <r>
    <s v="2001年度"/>
    <n v="41000"/>
    <x v="41"/>
    <n v="93784985"/>
    <n v="44085218"/>
    <n v="22385496"/>
    <n v="66470714"/>
    <x v="808"/>
  </r>
  <r>
    <s v="2001年度"/>
    <n v="42000"/>
    <x v="42"/>
    <n v="121056476"/>
    <n v="109428683"/>
    <n v="36495924"/>
    <n v="145924607"/>
    <x v="809"/>
  </r>
  <r>
    <s v="2001年度"/>
    <n v="43000"/>
    <x v="43"/>
    <n v="172178978"/>
    <n v="71861466"/>
    <n v="31535386"/>
    <n v="103396852"/>
    <x v="810"/>
  </r>
  <r>
    <s v="2001年度"/>
    <n v="44000"/>
    <x v="44"/>
    <n v="117451819"/>
    <n v="72806911"/>
    <n v="27662300"/>
    <n v="100469211"/>
    <x v="811"/>
  </r>
  <r>
    <s v="2001年度"/>
    <n v="45000"/>
    <x v="45"/>
    <n v="103605802"/>
    <n v="64729717"/>
    <n v="38239005"/>
    <n v="102968722"/>
    <x v="812"/>
  </r>
  <r>
    <s v="2001年度"/>
    <n v="46000"/>
    <x v="46"/>
    <n v="159953311"/>
    <n v="145141950"/>
    <n v="45514509"/>
    <n v="190656459"/>
    <x v="813"/>
  </r>
  <r>
    <s v="2001年度"/>
    <n v="47000"/>
    <x v="47"/>
    <n v="95612154"/>
    <n v="140476898"/>
    <n v="34747907"/>
    <n v="175224805"/>
    <x v="814"/>
  </r>
  <r>
    <s v="2000年度"/>
    <s v="00000"/>
    <x v="0"/>
    <n v="17456122242"/>
    <n v="4050729138"/>
    <n v="1546068365"/>
    <n v="5596797503"/>
    <x v="815"/>
  </r>
  <r>
    <s v="2000年度"/>
    <s v="01000"/>
    <x v="1"/>
    <n v="629622505"/>
    <n v="348991348"/>
    <n v="100848523"/>
    <n v="449839871"/>
    <x v="816"/>
  </r>
  <r>
    <s v="2000年度"/>
    <s v="02000"/>
    <x v="2"/>
    <n v="142247657"/>
    <n v="102062447"/>
    <n v="24872679"/>
    <n v="126935126"/>
    <x v="817"/>
  </r>
  <r>
    <s v="2000年度"/>
    <s v="03000"/>
    <x v="3"/>
    <n v="141564276"/>
    <n v="104282055"/>
    <n v="28933088"/>
    <n v="133215143"/>
    <x v="818"/>
  </r>
  <r>
    <s v="2000年度"/>
    <s v="04000"/>
    <x v="4"/>
    <n v="269659934"/>
    <n v="65201885"/>
    <n v="23027310"/>
    <n v="88229195"/>
    <x v="819"/>
  </r>
  <r>
    <s v="2000年度"/>
    <s v="05000"/>
    <x v="5"/>
    <n v="114163637"/>
    <n v="99927495"/>
    <n v="22877092"/>
    <n v="122804587"/>
    <x v="820"/>
  </r>
  <r>
    <s v="2000年度"/>
    <s v="06000"/>
    <x v="6"/>
    <n v="125205807"/>
    <n v="60038400"/>
    <n v="27369992"/>
    <n v="87408392"/>
    <x v="821"/>
  </r>
  <r>
    <s v="2000年度"/>
    <s v="07000"/>
    <x v="7"/>
    <n v="246577024"/>
    <n v="91918645"/>
    <n v="31616868"/>
    <n v="123535513"/>
    <x v="822"/>
  </r>
  <r>
    <s v="2000年度"/>
    <s v="08000"/>
    <x v="8"/>
    <n v="349182087"/>
    <n v="63393591"/>
    <n v="41490199"/>
    <n v="104883790"/>
    <x v="823"/>
  </r>
  <r>
    <s v="2000年度"/>
    <s v="09000"/>
    <x v="9"/>
    <n v="251849472"/>
    <n v="61975226"/>
    <n v="27805574"/>
    <n v="89780800"/>
    <x v="824"/>
  </r>
  <r>
    <s v="2000年度"/>
    <n v="10000"/>
    <x v="10"/>
    <n v="247783668"/>
    <n v="58088910"/>
    <n v="23201165"/>
    <n v="81290075"/>
    <x v="825"/>
  </r>
  <r>
    <s v="2000年度"/>
    <n v="11000"/>
    <x v="11"/>
    <n v="699547642"/>
    <n v="68970476"/>
    <n v="47079700"/>
    <n v="116050176"/>
    <x v="826"/>
  </r>
  <r>
    <s v="2000年度"/>
    <n v="12000"/>
    <x v="12"/>
    <n v="634807554"/>
    <n v="79072958"/>
    <n v="44357640"/>
    <n v="123430598"/>
    <x v="827"/>
  </r>
  <r>
    <s v="2000年度"/>
    <n v="13000"/>
    <x v="13"/>
    <n v="4267000196"/>
    <n v="141556913"/>
    <n v="98247683"/>
    <n v="239804596"/>
    <x v="828"/>
  </r>
  <r>
    <s v="2000年度"/>
    <n v="14000"/>
    <x v="14"/>
    <n v="987730128"/>
    <n v="57575807"/>
    <n v="47802262"/>
    <n v="105378069"/>
    <x v="829"/>
  </r>
  <r>
    <s v="2000年度"/>
    <n v="15000"/>
    <x v="15"/>
    <n v="279002161"/>
    <n v="154041637"/>
    <n v="37508012"/>
    <n v="191549649"/>
    <x v="830"/>
  </r>
  <r>
    <s v="2000年度"/>
    <n v="16000"/>
    <x v="16"/>
    <n v="133635567"/>
    <n v="53946859"/>
    <n v="17054225"/>
    <n v="71001084"/>
    <x v="831"/>
  </r>
  <r>
    <s v="2000年度"/>
    <n v="17000"/>
    <x v="17"/>
    <n v="148828068"/>
    <n v="69274215"/>
    <n v="16204178"/>
    <n v="85478393"/>
    <x v="832"/>
  </r>
  <r>
    <s v="2000年度"/>
    <n v="18000"/>
    <x v="18"/>
    <n v="116475048"/>
    <n v="63959612"/>
    <n v="15481789"/>
    <n v="79441401"/>
    <x v="833"/>
  </r>
  <r>
    <s v="2000年度"/>
    <n v="19000"/>
    <x v="19"/>
    <n v="110156483"/>
    <n v="68824620"/>
    <n v="9661120"/>
    <n v="78485740"/>
    <x v="834"/>
  </r>
  <r>
    <s v="2000年度"/>
    <n v="20000"/>
    <x v="20"/>
    <n v="275823350"/>
    <n v="101429556"/>
    <n v="38035815"/>
    <n v="139465371"/>
    <x v="835"/>
  </r>
  <r>
    <s v="2000年度"/>
    <n v="21000"/>
    <x v="21"/>
    <n v="251405051"/>
    <n v="82573794"/>
    <n v="29585975"/>
    <n v="112159769"/>
    <x v="836"/>
  </r>
  <r>
    <s v="2000年度"/>
    <n v="22000"/>
    <x v="22"/>
    <n v="506681624"/>
    <n v="80438617"/>
    <n v="32227934"/>
    <n v="112666551"/>
    <x v="837"/>
  </r>
  <r>
    <s v="2000年度"/>
    <n v="23000"/>
    <x v="23"/>
    <n v="1058597875"/>
    <n v="93430635"/>
    <n v="50145789"/>
    <n v="143576424"/>
    <x v="838"/>
  </r>
  <r>
    <s v="2000年度"/>
    <n v="24000"/>
    <x v="24"/>
    <n v="235803404"/>
    <n v="60130773"/>
    <n v="20036289"/>
    <n v="80167062"/>
    <x v="839"/>
  </r>
  <r>
    <s v="2000年度"/>
    <n v="25000"/>
    <x v="25"/>
    <n v="169927800"/>
    <n v="38744355"/>
    <n v="18108755"/>
    <n v="56853110"/>
    <x v="840"/>
  </r>
  <r>
    <s v="2000年度"/>
    <n v="26000"/>
    <x v="26"/>
    <n v="309403080"/>
    <n v="41704554"/>
    <n v="19139471"/>
    <n v="60844025"/>
    <x v="841"/>
  </r>
  <r>
    <s v="2000年度"/>
    <n v="27000"/>
    <x v="27"/>
    <n v="1162735752"/>
    <n v="99740824"/>
    <n v="68553423"/>
    <n v="168294247"/>
    <x v="842"/>
  </r>
  <r>
    <s v="2000年度"/>
    <n v="28000"/>
    <x v="28"/>
    <n v="607911550"/>
    <n v="120662461"/>
    <n v="61132453"/>
    <n v="181794914"/>
    <x v="843"/>
  </r>
  <r>
    <s v="2000年度"/>
    <n v="29000"/>
    <x v="29"/>
    <n v="136499503"/>
    <n v="41297785"/>
    <n v="14572560"/>
    <n v="55870345"/>
    <x v="844"/>
  </r>
  <r>
    <s v="2000年度"/>
    <n v="30000"/>
    <x v="30"/>
    <n v="107270178"/>
    <n v="59088386"/>
    <n v="17729032"/>
    <n v="76817418"/>
    <x v="845"/>
  </r>
  <r>
    <s v="2000年度"/>
    <n v="31000"/>
    <x v="31"/>
    <n v="66224679"/>
    <n v="46846253"/>
    <n v="20395633"/>
    <n v="67241886"/>
    <x v="846"/>
  </r>
  <r>
    <s v="2000年度"/>
    <n v="32000"/>
    <x v="32"/>
    <n v="79251591"/>
    <n v="94842321"/>
    <n v="28456633"/>
    <n v="123298954"/>
    <x v="847"/>
  </r>
  <r>
    <s v="2000年度"/>
    <n v="33000"/>
    <x v="33"/>
    <n v="218498497"/>
    <n v="59790467"/>
    <n v="26617331"/>
    <n v="86407798"/>
    <x v="848"/>
  </r>
  <r>
    <s v="2000年度"/>
    <n v="34000"/>
    <x v="34"/>
    <n v="330847646"/>
    <n v="95543224"/>
    <n v="56103909"/>
    <n v="151647133"/>
    <x v="849"/>
  </r>
  <r>
    <s v="2000年度"/>
    <n v="35000"/>
    <x v="35"/>
    <n v="175677657"/>
    <n v="80270500"/>
    <n v="25853603"/>
    <n v="106124103"/>
    <x v="850"/>
  </r>
  <r>
    <s v="2000年度"/>
    <n v="36000"/>
    <x v="36"/>
    <n v="95878673"/>
    <n v="72981364"/>
    <n v="14288142"/>
    <n v="87269506"/>
    <x v="851"/>
  </r>
  <r>
    <s v="2000年度"/>
    <n v="37000"/>
    <x v="37"/>
    <n v="123785252"/>
    <n v="27647126"/>
    <n v="18687180"/>
    <n v="46334306"/>
    <x v="852"/>
  </r>
  <r>
    <s v="2000年度"/>
    <n v="38000"/>
    <x v="38"/>
    <n v="153288011"/>
    <n v="69876296"/>
    <n v="18986046"/>
    <n v="88862342"/>
    <x v="853"/>
  </r>
  <r>
    <s v="2000年度"/>
    <n v="39000"/>
    <x v="39"/>
    <n v="77317994"/>
    <n v="74655560"/>
    <n v="17589887"/>
    <n v="92245447"/>
    <x v="854"/>
  </r>
  <r>
    <s v="2000年度"/>
    <n v="40000"/>
    <x v="40"/>
    <n v="533823466"/>
    <n v="86432724"/>
    <n v="63196736"/>
    <n v="149629460"/>
    <x v="855"/>
  </r>
  <r>
    <s v="2000年度"/>
    <n v="41000"/>
    <x v="41"/>
    <n v="95469098"/>
    <n v="51716560"/>
    <n v="18034134"/>
    <n v="69750694"/>
    <x v="856"/>
  </r>
  <r>
    <s v="2000年度"/>
    <n v="42000"/>
    <x v="42"/>
    <n v="125285052"/>
    <n v="120007571"/>
    <n v="29939758"/>
    <n v="149947329"/>
    <x v="857"/>
  </r>
  <r>
    <s v="2000年度"/>
    <n v="43000"/>
    <x v="43"/>
    <n v="174934859"/>
    <n v="87607886"/>
    <n v="26705216"/>
    <n v="114313102"/>
    <x v="858"/>
  </r>
  <r>
    <s v="2000年度"/>
    <n v="44000"/>
    <x v="44"/>
    <n v="121709039"/>
    <n v="82518022"/>
    <n v="22378594"/>
    <n v="104896616"/>
    <x v="859"/>
  </r>
  <r>
    <s v="2000年度"/>
    <n v="45000"/>
    <x v="45"/>
    <n v="107346351"/>
    <n v="72291109"/>
    <n v="34310841"/>
    <n v="106601950"/>
    <x v="860"/>
  </r>
  <r>
    <s v="2000年度"/>
    <n v="46000"/>
    <x v="46"/>
    <n v="163959320"/>
    <n v="144495006"/>
    <n v="45784598"/>
    <n v="190279604"/>
    <x v="861"/>
  </r>
  <r>
    <s v="2000年度"/>
    <n v="47000"/>
    <x v="47"/>
    <n v="95726976"/>
    <n v="150862310"/>
    <n v="24033529"/>
    <n v="174895839"/>
    <x v="862"/>
  </r>
  <r>
    <s v="1999年度"/>
    <s v="00000"/>
    <x v="0"/>
    <n v="16432986858"/>
    <n v="4454840664"/>
    <n v="1652125167"/>
    <n v="6106965831"/>
    <x v="863"/>
  </r>
  <r>
    <s v="1999年度"/>
    <s v="01000"/>
    <x v="1"/>
    <n v="606620119"/>
    <n v="379912852"/>
    <n v="103918192"/>
    <n v="483831044"/>
    <x v="864"/>
  </r>
  <r>
    <s v="1999年度"/>
    <s v="02000"/>
    <x v="2"/>
    <n v="133742792"/>
    <n v="96681006"/>
    <n v="34762835"/>
    <n v="131443841"/>
    <x v="865"/>
  </r>
  <r>
    <s v="1999年度"/>
    <s v="03000"/>
    <x v="3"/>
    <n v="134856744"/>
    <n v="108819135"/>
    <n v="29137348"/>
    <n v="137956483"/>
    <x v="866"/>
  </r>
  <r>
    <s v="1999年度"/>
    <s v="04000"/>
    <x v="4"/>
    <n v="261799220"/>
    <n v="73187747"/>
    <n v="27989729"/>
    <n v="101177476"/>
    <x v="867"/>
  </r>
  <r>
    <s v="1999年度"/>
    <s v="05000"/>
    <x v="5"/>
    <n v="111518413"/>
    <n v="103797772"/>
    <n v="24928351"/>
    <n v="128726123"/>
    <x v="868"/>
  </r>
  <r>
    <s v="1999年度"/>
    <s v="06000"/>
    <x v="6"/>
    <n v="119155831"/>
    <n v="76932543"/>
    <n v="24669377"/>
    <n v="101601920"/>
    <x v="869"/>
  </r>
  <r>
    <s v="1999年度"/>
    <s v="07000"/>
    <x v="7"/>
    <n v="239565676"/>
    <n v="109054865"/>
    <n v="32031935"/>
    <n v="141086800"/>
    <x v="870"/>
  </r>
  <r>
    <s v="1999年度"/>
    <s v="08000"/>
    <x v="8"/>
    <n v="328877972"/>
    <n v="70144850"/>
    <n v="40056028"/>
    <n v="110200878"/>
    <x v="871"/>
  </r>
  <r>
    <s v="1999年度"/>
    <s v="09000"/>
    <x v="9"/>
    <n v="238889836"/>
    <n v="69538234"/>
    <n v="29811336"/>
    <n v="99349570"/>
    <x v="872"/>
  </r>
  <r>
    <s v="1999年度"/>
    <n v="10000"/>
    <x v="10"/>
    <n v="231854645"/>
    <n v="70189895"/>
    <n v="27677665"/>
    <n v="97867560"/>
    <x v="873"/>
  </r>
  <r>
    <s v="1999年度"/>
    <n v="11000"/>
    <x v="11"/>
    <n v="659383128"/>
    <n v="83789495"/>
    <n v="54586417"/>
    <n v="138375912"/>
    <x v="874"/>
  </r>
  <r>
    <s v="1999年度"/>
    <n v="12000"/>
    <x v="12"/>
    <n v="591445741"/>
    <n v="81988473"/>
    <n v="56454647"/>
    <n v="138443120"/>
    <x v="875"/>
  </r>
  <r>
    <s v="1999年度"/>
    <n v="13000"/>
    <x v="13"/>
    <n v="4033314221"/>
    <n v="190717405"/>
    <n v="120128282"/>
    <n v="310845687"/>
    <x v="876"/>
  </r>
  <r>
    <s v="1999年度"/>
    <n v="14000"/>
    <x v="14"/>
    <n v="882929550"/>
    <n v="56147150"/>
    <n v="58597343"/>
    <n v="114744493"/>
    <x v="877"/>
  </r>
  <r>
    <s v="1999年度"/>
    <n v="15000"/>
    <x v="15"/>
    <n v="274814601"/>
    <n v="183742994"/>
    <n v="38075208"/>
    <n v="221818202"/>
    <x v="878"/>
  </r>
  <r>
    <s v="1999年度"/>
    <n v="16000"/>
    <x v="16"/>
    <n v="128610735"/>
    <n v="68902044"/>
    <n v="18766021"/>
    <n v="87668065"/>
    <x v="879"/>
  </r>
  <r>
    <s v="1999年度"/>
    <n v="17000"/>
    <x v="17"/>
    <n v="143519472"/>
    <n v="76793148"/>
    <n v="18088682"/>
    <n v="94881830"/>
    <x v="880"/>
  </r>
  <r>
    <s v="1999年度"/>
    <n v="18000"/>
    <x v="18"/>
    <n v="111248026"/>
    <n v="60175067"/>
    <n v="16433956"/>
    <n v="76609023"/>
    <x v="881"/>
  </r>
  <r>
    <s v="1999年度"/>
    <n v="19000"/>
    <x v="19"/>
    <n v="99463140"/>
    <n v="75214568"/>
    <n v="10025754"/>
    <n v="85240322"/>
    <x v="882"/>
  </r>
  <r>
    <s v="1999年度"/>
    <n v="20000"/>
    <x v="20"/>
    <n v="256809751"/>
    <n v="120102399"/>
    <n v="33163699"/>
    <n v="153266098"/>
    <x v="883"/>
  </r>
  <r>
    <s v="1999年度"/>
    <n v="21000"/>
    <x v="21"/>
    <n v="233997343"/>
    <n v="90854588"/>
    <n v="28776384"/>
    <n v="119630972"/>
    <x v="884"/>
  </r>
  <r>
    <s v="1999年度"/>
    <n v="22000"/>
    <x v="22"/>
    <n v="471367678"/>
    <n v="87853935"/>
    <n v="35849158"/>
    <n v="123703093"/>
    <x v="885"/>
  </r>
  <r>
    <s v="1999年度"/>
    <n v="23000"/>
    <x v="23"/>
    <n v="1003397104"/>
    <n v="101807152"/>
    <n v="54367245"/>
    <n v="156174397"/>
    <x v="886"/>
  </r>
  <r>
    <s v="1999年度"/>
    <n v="24000"/>
    <x v="24"/>
    <n v="226819037"/>
    <n v="71882002"/>
    <n v="21109432"/>
    <n v="92991434"/>
    <x v="887"/>
  </r>
  <r>
    <s v="1999年度"/>
    <n v="25000"/>
    <x v="25"/>
    <n v="154826806"/>
    <n v="41823869"/>
    <n v="20838406"/>
    <n v="62662275"/>
    <x v="888"/>
  </r>
  <r>
    <s v="1999年度"/>
    <n v="26000"/>
    <x v="26"/>
    <n v="278085309"/>
    <n v="45180127"/>
    <n v="22277484"/>
    <n v="67457611"/>
    <x v="889"/>
  </r>
  <r>
    <s v="1999年度"/>
    <n v="27000"/>
    <x v="27"/>
    <n v="1096851447"/>
    <n v="102986819"/>
    <n v="85074647"/>
    <n v="188061466"/>
    <x v="890"/>
  </r>
  <r>
    <s v="1999年度"/>
    <n v="28000"/>
    <x v="28"/>
    <n v="578680927"/>
    <n v="138512792"/>
    <n v="72479765"/>
    <n v="210992557"/>
    <x v="891"/>
  </r>
  <r>
    <s v="1999年度"/>
    <n v="29000"/>
    <x v="29"/>
    <n v="123065454"/>
    <n v="43780583"/>
    <n v="17099897"/>
    <n v="60880480"/>
    <x v="892"/>
  </r>
  <r>
    <s v="1999年度"/>
    <n v="30000"/>
    <x v="30"/>
    <n v="97483435"/>
    <n v="62582510"/>
    <n v="15437581"/>
    <n v="78020091"/>
    <x v="893"/>
  </r>
  <r>
    <s v="1999年度"/>
    <n v="31000"/>
    <x v="31"/>
    <n v="62587259"/>
    <n v="49292351"/>
    <n v="20385992"/>
    <n v="69678343"/>
    <x v="894"/>
  </r>
  <r>
    <s v="1999年度"/>
    <n v="32000"/>
    <x v="32"/>
    <n v="74702606"/>
    <n v="99980893"/>
    <n v="25992507"/>
    <n v="125973400"/>
    <x v="895"/>
  </r>
  <r>
    <s v="1999年度"/>
    <n v="33000"/>
    <x v="33"/>
    <n v="203482543"/>
    <n v="55005365"/>
    <n v="25455740"/>
    <n v="80461105"/>
    <x v="896"/>
  </r>
  <r>
    <s v="1999年度"/>
    <n v="34000"/>
    <x v="34"/>
    <n v="300298681"/>
    <n v="93743095"/>
    <n v="58405182"/>
    <n v="152148277"/>
    <x v="897"/>
  </r>
  <r>
    <s v="1999年度"/>
    <n v="35000"/>
    <x v="35"/>
    <n v="160275183"/>
    <n v="91703840"/>
    <n v="26026339"/>
    <n v="117730179"/>
    <x v="898"/>
  </r>
  <r>
    <s v="1999年度"/>
    <n v="36000"/>
    <x v="36"/>
    <n v="82940517"/>
    <n v="76176090"/>
    <n v="13170384"/>
    <n v="89346474"/>
    <x v="899"/>
  </r>
  <r>
    <s v="1999年度"/>
    <n v="37000"/>
    <x v="37"/>
    <n v="113339874"/>
    <n v="32507368"/>
    <n v="16751394"/>
    <n v="49258762"/>
    <x v="900"/>
  </r>
  <r>
    <s v="1999年度"/>
    <n v="38000"/>
    <x v="38"/>
    <n v="142744940"/>
    <n v="68894370"/>
    <n v="20832201"/>
    <n v="89726571"/>
    <x v="901"/>
  </r>
  <r>
    <s v="1999年度"/>
    <n v="39000"/>
    <x v="39"/>
    <n v="74399800"/>
    <n v="85166208"/>
    <n v="18458945"/>
    <n v="103625153"/>
    <x v="902"/>
  </r>
  <r>
    <s v="1999年度"/>
    <n v="40000"/>
    <x v="40"/>
    <n v="512577626"/>
    <n v="89321476"/>
    <n v="59077122"/>
    <n v="148398598"/>
    <x v="903"/>
  </r>
  <r>
    <s v="1999年度"/>
    <n v="41000"/>
    <x v="41"/>
    <n v="91044747"/>
    <n v="60431761"/>
    <n v="17586756"/>
    <n v="78018517"/>
    <x v="904"/>
  </r>
  <r>
    <s v="1999年度"/>
    <n v="42000"/>
    <x v="42"/>
    <n v="123408600"/>
    <n v="119591915"/>
    <n v="29387428"/>
    <n v="148979343"/>
    <x v="905"/>
  </r>
  <r>
    <s v="1999年度"/>
    <n v="43000"/>
    <x v="43"/>
    <n v="168847800"/>
    <n v="96621875"/>
    <n v="27135693"/>
    <n v="123757568"/>
    <x v="906"/>
  </r>
  <r>
    <s v="1999年度"/>
    <n v="44000"/>
    <x v="44"/>
    <n v="116914276"/>
    <n v="89809030"/>
    <n v="21430779"/>
    <n v="111239809"/>
    <x v="907"/>
  </r>
  <r>
    <s v="1999年度"/>
    <n v="45000"/>
    <x v="45"/>
    <n v="102804657"/>
    <n v="74759130"/>
    <n v="33625340"/>
    <n v="108384470"/>
    <x v="908"/>
  </r>
  <r>
    <s v="1999年度"/>
    <n v="46000"/>
    <x v="46"/>
    <n v="153917239"/>
    <n v="159067486"/>
    <n v="38383182"/>
    <n v="197450668"/>
    <x v="909"/>
  </r>
  <r>
    <s v="1999年度"/>
    <n v="47000"/>
    <x v="47"/>
    <n v="95706357"/>
    <n v="169672392"/>
    <n v="27407379"/>
    <n v="197079771"/>
    <x v="910"/>
  </r>
  <r>
    <s v="1998年度"/>
    <s v="00000"/>
    <x v="0"/>
    <n v="17237391144"/>
    <n v="4621104455"/>
    <n v="1571255698"/>
    <n v="6192360153"/>
    <x v="911"/>
  </r>
  <r>
    <s v="1998年度"/>
    <s v="01000"/>
    <x v="1"/>
    <n v="610961646"/>
    <n v="406092085"/>
    <n v="98196622"/>
    <n v="504288707"/>
    <x v="912"/>
  </r>
  <r>
    <s v="1998年度"/>
    <s v="02000"/>
    <x v="2"/>
    <n v="136878526"/>
    <n v="94474002"/>
    <n v="33554872"/>
    <n v="128028874"/>
    <x v="913"/>
  </r>
  <r>
    <s v="1998年度"/>
    <s v="03000"/>
    <x v="3"/>
    <n v="139143262"/>
    <n v="112233382"/>
    <n v="29134198"/>
    <n v="141367580"/>
    <x v="914"/>
  </r>
  <r>
    <s v="1998年度"/>
    <s v="04000"/>
    <x v="4"/>
    <n v="272179121"/>
    <n v="92136229"/>
    <n v="25653676"/>
    <n v="117789905"/>
    <x v="915"/>
  </r>
  <r>
    <s v="1998年度"/>
    <s v="05000"/>
    <x v="5"/>
    <n v="115278515"/>
    <n v="99872921"/>
    <n v="23135031"/>
    <n v="123007952"/>
    <x v="916"/>
  </r>
  <r>
    <s v="1998年度"/>
    <s v="06000"/>
    <x v="6"/>
    <n v="125222437"/>
    <n v="80118898"/>
    <n v="25221842"/>
    <n v="105340740"/>
    <x v="917"/>
  </r>
  <r>
    <s v="1998年度"/>
    <s v="07000"/>
    <x v="7"/>
    <n v="255631556"/>
    <n v="115933191"/>
    <n v="30711595"/>
    <n v="146644786"/>
    <x v="918"/>
  </r>
  <r>
    <s v="1998年度"/>
    <s v="08000"/>
    <x v="8"/>
    <n v="351991837"/>
    <n v="73837462"/>
    <n v="38687465"/>
    <n v="112524927"/>
    <x v="919"/>
  </r>
  <r>
    <s v="1998年度"/>
    <s v="09000"/>
    <x v="9"/>
    <n v="248964209"/>
    <n v="64197199"/>
    <n v="26685149"/>
    <n v="90882348"/>
    <x v="920"/>
  </r>
  <r>
    <s v="1998年度"/>
    <n v="10000"/>
    <x v="10"/>
    <n v="249047815"/>
    <n v="66253045"/>
    <n v="25431240"/>
    <n v="91684285"/>
    <x v="921"/>
  </r>
  <r>
    <s v="1998年度"/>
    <n v="11000"/>
    <x v="11"/>
    <n v="686371346"/>
    <n v="81523173"/>
    <n v="53062309"/>
    <n v="134585482"/>
    <x v="922"/>
  </r>
  <r>
    <s v="1998年度"/>
    <n v="12000"/>
    <x v="12"/>
    <n v="598448287"/>
    <n v="83362586"/>
    <n v="47282369"/>
    <n v="130644955"/>
    <x v="923"/>
  </r>
  <r>
    <s v="1998年度"/>
    <n v="13000"/>
    <x v="13"/>
    <n v="4199902828"/>
    <n v="224986511"/>
    <n v="119808446"/>
    <n v="344794957"/>
    <x v="924"/>
  </r>
  <r>
    <s v="1998年度"/>
    <n v="14000"/>
    <x v="14"/>
    <n v="953247052"/>
    <n v="61526419"/>
    <n v="51783962"/>
    <n v="113310381"/>
    <x v="925"/>
  </r>
  <r>
    <s v="1998年度"/>
    <n v="15000"/>
    <x v="15"/>
    <n v="289751775"/>
    <n v="205775729"/>
    <n v="37809272"/>
    <n v="243585001"/>
    <x v="926"/>
  </r>
  <r>
    <s v="1998年度"/>
    <n v="16000"/>
    <x v="16"/>
    <n v="135117929"/>
    <n v="69806972"/>
    <n v="16803740"/>
    <n v="86610712"/>
    <x v="927"/>
  </r>
  <r>
    <s v="1998年度"/>
    <n v="17000"/>
    <x v="17"/>
    <n v="149611399"/>
    <n v="77460339"/>
    <n v="17266281"/>
    <n v="94726620"/>
    <x v="928"/>
  </r>
  <r>
    <s v="1998年度"/>
    <n v="18000"/>
    <x v="18"/>
    <n v="120448467"/>
    <n v="76219771"/>
    <n v="15544716"/>
    <n v="91764487"/>
    <x v="929"/>
  </r>
  <r>
    <s v="1998年度"/>
    <n v="19000"/>
    <x v="19"/>
    <n v="110558773"/>
    <n v="75183615"/>
    <n v="10120283"/>
    <n v="85303898"/>
    <x v="930"/>
  </r>
  <r>
    <s v="1998年度"/>
    <n v="20000"/>
    <x v="20"/>
    <n v="284514565"/>
    <n v="127658665"/>
    <n v="33318964"/>
    <n v="160977629"/>
    <x v="931"/>
  </r>
  <r>
    <s v="1998年度"/>
    <n v="21000"/>
    <x v="21"/>
    <n v="246494073"/>
    <n v="94196382"/>
    <n v="28583262"/>
    <n v="122779644"/>
    <x v="932"/>
  </r>
  <r>
    <s v="1998年度"/>
    <n v="22000"/>
    <x v="22"/>
    <n v="498035698"/>
    <n v="95631876"/>
    <n v="37818023"/>
    <n v="133449899"/>
    <x v="933"/>
  </r>
  <r>
    <s v="1998年度"/>
    <n v="23000"/>
    <x v="23"/>
    <n v="1072582711"/>
    <n v="114131074"/>
    <n v="54391109"/>
    <n v="168522183"/>
    <x v="934"/>
  </r>
  <r>
    <s v="1998年度"/>
    <n v="24000"/>
    <x v="24"/>
    <n v="234268168"/>
    <n v="66115547"/>
    <n v="21547773"/>
    <n v="87663320"/>
    <x v="935"/>
  </r>
  <r>
    <s v="1998年度"/>
    <n v="25000"/>
    <x v="25"/>
    <n v="160441681"/>
    <n v="42111668"/>
    <n v="18401870"/>
    <n v="60513538"/>
    <x v="936"/>
  </r>
  <r>
    <s v="1998年度"/>
    <n v="26000"/>
    <x v="26"/>
    <n v="322378108"/>
    <n v="53445041"/>
    <n v="19944884"/>
    <n v="73389925"/>
    <x v="937"/>
  </r>
  <r>
    <s v="1998年度"/>
    <n v="27000"/>
    <x v="27"/>
    <n v="1152283631"/>
    <n v="108996350"/>
    <n v="74578687"/>
    <n v="183575037"/>
    <x v="938"/>
  </r>
  <r>
    <s v="1998年度"/>
    <n v="28000"/>
    <x v="28"/>
    <n v="617751460"/>
    <n v="135744764"/>
    <n v="62297920"/>
    <n v="198042684"/>
    <x v="939"/>
  </r>
  <r>
    <s v="1998年度"/>
    <n v="29000"/>
    <x v="29"/>
    <n v="124016202"/>
    <n v="43617955"/>
    <n v="15678277"/>
    <n v="59296232"/>
    <x v="940"/>
  </r>
  <r>
    <s v="1998年度"/>
    <n v="30000"/>
    <x v="30"/>
    <n v="98501147"/>
    <n v="62981645"/>
    <n v="15617807"/>
    <n v="78599452"/>
    <x v="941"/>
  </r>
  <r>
    <s v="1998年度"/>
    <n v="31000"/>
    <x v="31"/>
    <n v="64287818"/>
    <n v="53545426"/>
    <n v="20923302"/>
    <n v="74468728"/>
    <x v="942"/>
  </r>
  <r>
    <s v="1998年度"/>
    <n v="32000"/>
    <x v="32"/>
    <n v="83665749"/>
    <n v="94698404"/>
    <n v="25142800"/>
    <n v="119841204"/>
    <x v="943"/>
  </r>
  <r>
    <s v="1998年度"/>
    <n v="33000"/>
    <x v="33"/>
    <n v="209854720"/>
    <n v="55758409"/>
    <n v="26721945"/>
    <n v="82480354"/>
    <x v="944"/>
  </r>
  <r>
    <s v="1998年度"/>
    <n v="34000"/>
    <x v="34"/>
    <n v="313987393"/>
    <n v="94493840"/>
    <n v="56056463"/>
    <n v="150550303"/>
    <x v="945"/>
  </r>
  <r>
    <s v="1998年度"/>
    <n v="35000"/>
    <x v="35"/>
    <n v="170666166"/>
    <n v="88905799"/>
    <n v="25259754"/>
    <n v="114165553"/>
    <x v="946"/>
  </r>
  <r>
    <s v="1998年度"/>
    <n v="36000"/>
    <x v="36"/>
    <n v="85005581"/>
    <n v="68559382"/>
    <n v="12342432"/>
    <n v="80901814"/>
    <x v="947"/>
  </r>
  <r>
    <s v="1998年度"/>
    <n v="37000"/>
    <x v="37"/>
    <n v="120805057"/>
    <n v="33086268"/>
    <n v="16474940"/>
    <n v="49561208"/>
    <x v="948"/>
  </r>
  <r>
    <s v="1998年度"/>
    <n v="38000"/>
    <x v="38"/>
    <n v="153600167"/>
    <n v="74187025"/>
    <n v="19754822"/>
    <n v="93941847"/>
    <x v="949"/>
  </r>
  <r>
    <s v="1998年度"/>
    <n v="39000"/>
    <x v="39"/>
    <n v="75307099"/>
    <n v="75170778"/>
    <n v="17850127"/>
    <n v="93020905"/>
    <x v="950"/>
  </r>
  <r>
    <s v="1998年度"/>
    <n v="40000"/>
    <x v="40"/>
    <n v="519326730"/>
    <n v="87090391"/>
    <n v="55014304"/>
    <n v="142104695"/>
    <x v="951"/>
  </r>
  <r>
    <s v="1998年度"/>
    <n v="41000"/>
    <x v="41"/>
    <n v="97390925"/>
    <n v="63812267"/>
    <n v="16327978"/>
    <n v="80140245"/>
    <x v="952"/>
  </r>
  <r>
    <s v="1998年度"/>
    <n v="42000"/>
    <x v="42"/>
    <n v="128245518"/>
    <n v="128641774"/>
    <n v="28038116"/>
    <n v="156679890"/>
    <x v="953"/>
  </r>
  <r>
    <s v="1998年度"/>
    <n v="43000"/>
    <x v="43"/>
    <n v="173113954"/>
    <n v="103924197"/>
    <n v="24997725"/>
    <n v="128921922"/>
    <x v="954"/>
  </r>
  <r>
    <s v="1998年度"/>
    <n v="44000"/>
    <x v="44"/>
    <n v="121459656"/>
    <n v="87193466"/>
    <n v="19915793"/>
    <n v="107109259"/>
    <x v="955"/>
  </r>
  <r>
    <s v="1998年度"/>
    <n v="45000"/>
    <x v="45"/>
    <n v="106641251"/>
    <n v="87103758"/>
    <n v="31119547"/>
    <n v="118223305"/>
    <x v="956"/>
  </r>
  <r>
    <s v="1998年度"/>
    <n v="46000"/>
    <x v="46"/>
    <n v="158392500"/>
    <n v="159201661"/>
    <n v="42721566"/>
    <n v="201923227"/>
    <x v="957"/>
  </r>
  <r>
    <s v="1998年度"/>
    <n v="47000"/>
    <x v="47"/>
    <n v="95616636"/>
    <n v="160107114"/>
    <n v="24522440"/>
    <n v="184629554"/>
    <x v="958"/>
  </r>
  <r>
    <s v="1997年度"/>
    <s v="00000"/>
    <x v="0"/>
    <n v="16872602103"/>
    <n v="4264954808"/>
    <n v="1404148364"/>
    <n v="5669103172"/>
    <x v="959"/>
  </r>
  <r>
    <s v="1997年度"/>
    <s v="01000"/>
    <x v="1"/>
    <n v="565248299"/>
    <n v="359322339"/>
    <n v="100831949"/>
    <n v="460154288"/>
    <x v="960"/>
  </r>
  <r>
    <s v="1997年度"/>
    <s v="02000"/>
    <x v="2"/>
    <n v="121106092"/>
    <n v="93045699"/>
    <n v="34641575"/>
    <n v="127687274"/>
    <x v="961"/>
  </r>
  <r>
    <s v="1997年度"/>
    <s v="03000"/>
    <x v="3"/>
    <n v="128768254"/>
    <n v="112798319"/>
    <n v="30668358"/>
    <n v="143466677"/>
    <x v="962"/>
  </r>
  <r>
    <s v="1997年度"/>
    <s v="04000"/>
    <x v="4"/>
    <n v="264393689"/>
    <n v="89067539"/>
    <n v="26146287"/>
    <n v="115213826"/>
    <x v="963"/>
  </r>
  <r>
    <s v="1997年度"/>
    <s v="05000"/>
    <x v="5"/>
    <n v="110132653"/>
    <n v="103637353"/>
    <n v="26381423"/>
    <n v="130018776"/>
    <x v="964"/>
  </r>
  <r>
    <s v="1997年度"/>
    <s v="06000"/>
    <x v="6"/>
    <n v="115185723"/>
    <n v="80271599"/>
    <n v="27119245"/>
    <n v="107390844"/>
    <x v="965"/>
  </r>
  <r>
    <s v="1997年度"/>
    <s v="07000"/>
    <x v="7"/>
    <n v="238430029"/>
    <n v="119611533"/>
    <n v="30707407"/>
    <n v="150318940"/>
    <x v="966"/>
  </r>
  <r>
    <s v="1997年度"/>
    <s v="08000"/>
    <x v="8"/>
    <n v="337670775"/>
    <n v="70268835"/>
    <n v="35236933"/>
    <n v="105505768"/>
    <x v="967"/>
  </r>
  <r>
    <s v="1997年度"/>
    <s v="09000"/>
    <x v="9"/>
    <n v="241704187"/>
    <n v="56629570"/>
    <n v="23230227"/>
    <n v="79859797"/>
    <x v="968"/>
  </r>
  <r>
    <s v="1997年度"/>
    <n v="10000"/>
    <x v="10"/>
    <n v="229946075"/>
    <n v="64389939"/>
    <n v="22091487"/>
    <n v="86481426"/>
    <x v="969"/>
  </r>
  <r>
    <s v="1997年度"/>
    <n v="11000"/>
    <x v="11"/>
    <n v="666314141"/>
    <n v="79394310"/>
    <n v="42354075"/>
    <n v="121748385"/>
    <x v="970"/>
  </r>
  <r>
    <s v="1997年度"/>
    <n v="12000"/>
    <x v="12"/>
    <n v="589073269"/>
    <n v="86926433"/>
    <n v="41212435"/>
    <n v="128138868"/>
    <x v="971"/>
  </r>
  <r>
    <s v="1997年度"/>
    <n v="13000"/>
    <x v="13"/>
    <n v="4269045445"/>
    <n v="181012361"/>
    <n v="70396311"/>
    <n v="251408672"/>
    <x v="972"/>
  </r>
  <r>
    <s v="1997年度"/>
    <n v="14000"/>
    <x v="14"/>
    <n v="979939643"/>
    <n v="55790821"/>
    <n v="39423340"/>
    <n v="95214161"/>
    <x v="973"/>
  </r>
  <r>
    <s v="1997年度"/>
    <n v="15000"/>
    <x v="15"/>
    <n v="280711430"/>
    <n v="187133079"/>
    <n v="37396655"/>
    <n v="224529734"/>
    <x v="974"/>
  </r>
  <r>
    <s v="1997年度"/>
    <n v="16000"/>
    <x v="16"/>
    <n v="135421045"/>
    <n v="67635820"/>
    <n v="9804442"/>
    <n v="77440262"/>
    <x v="975"/>
  </r>
  <r>
    <s v="1997年度"/>
    <n v="17000"/>
    <x v="17"/>
    <n v="142143623"/>
    <n v="63249413"/>
    <n v="17467911"/>
    <n v="80717324"/>
    <x v="976"/>
  </r>
  <r>
    <s v="1997年度"/>
    <n v="18000"/>
    <x v="18"/>
    <n v="116096210"/>
    <n v="63953757"/>
    <n v="17297357"/>
    <n v="81251114"/>
    <x v="977"/>
  </r>
  <r>
    <s v="1997年度"/>
    <n v="19000"/>
    <x v="19"/>
    <n v="100471397"/>
    <n v="69953582"/>
    <n v="7733681"/>
    <n v="77687263"/>
    <x v="978"/>
  </r>
  <r>
    <s v="1997年度"/>
    <n v="20000"/>
    <x v="20"/>
    <n v="253939553"/>
    <n v="109465268"/>
    <n v="22832195"/>
    <n v="132297463"/>
    <x v="979"/>
  </r>
  <r>
    <s v="1997年度"/>
    <n v="21000"/>
    <x v="21"/>
    <n v="235510024"/>
    <n v="83271320"/>
    <n v="25986317"/>
    <n v="109257637"/>
    <x v="980"/>
  </r>
  <r>
    <s v="1997年度"/>
    <n v="22000"/>
    <x v="22"/>
    <n v="511452998"/>
    <n v="81812199"/>
    <n v="27972820"/>
    <n v="109785019"/>
    <x v="981"/>
  </r>
  <r>
    <s v="1997年度"/>
    <n v="23000"/>
    <x v="23"/>
    <n v="1104335581"/>
    <n v="96523238"/>
    <n v="44155774"/>
    <n v="140679012"/>
    <x v="982"/>
  </r>
  <r>
    <s v="1997年度"/>
    <n v="24000"/>
    <x v="24"/>
    <n v="232992490"/>
    <n v="58763271"/>
    <n v="19119066"/>
    <n v="77882337"/>
    <x v="983"/>
  </r>
  <r>
    <s v="1997年度"/>
    <n v="25000"/>
    <x v="25"/>
    <n v="163341862"/>
    <n v="43558904"/>
    <n v="20161983"/>
    <n v="63720887"/>
    <x v="984"/>
  </r>
  <r>
    <s v="1997年度"/>
    <n v="26000"/>
    <x v="26"/>
    <n v="295637145"/>
    <n v="41309707"/>
    <n v="16863254"/>
    <n v="58172961"/>
    <x v="985"/>
  </r>
  <r>
    <s v="1997年度"/>
    <n v="27000"/>
    <x v="27"/>
    <n v="1152693249"/>
    <n v="108354219"/>
    <n v="55768941"/>
    <n v="164123160"/>
    <x v="986"/>
  </r>
  <r>
    <s v="1997年度"/>
    <n v="28000"/>
    <x v="28"/>
    <n v="595263877"/>
    <n v="196429524"/>
    <n v="50013116"/>
    <n v="246442640"/>
    <x v="987"/>
  </r>
  <r>
    <s v="1997年度"/>
    <n v="29000"/>
    <x v="29"/>
    <n v="121255513"/>
    <n v="38949610"/>
    <n v="15407979"/>
    <n v="54357589"/>
    <x v="988"/>
  </r>
  <r>
    <s v="1997年度"/>
    <n v="30000"/>
    <x v="30"/>
    <n v="96909610"/>
    <n v="55550962"/>
    <n v="12332379"/>
    <n v="67883341"/>
    <x v="989"/>
  </r>
  <r>
    <s v="1997年度"/>
    <n v="31000"/>
    <x v="31"/>
    <n v="57848913"/>
    <n v="45293095"/>
    <n v="19481445"/>
    <n v="64774540"/>
    <x v="990"/>
  </r>
  <r>
    <s v="1997年度"/>
    <n v="32000"/>
    <x v="32"/>
    <n v="69690601"/>
    <n v="84506968"/>
    <n v="21755819"/>
    <n v="106262787"/>
    <x v="991"/>
  </r>
  <r>
    <s v="1997年度"/>
    <n v="33000"/>
    <x v="33"/>
    <n v="205244313"/>
    <n v="57561234"/>
    <n v="26733654"/>
    <n v="84294888"/>
    <x v="992"/>
  </r>
  <r>
    <s v="1997年度"/>
    <n v="34000"/>
    <x v="34"/>
    <n v="305118011"/>
    <n v="78252202"/>
    <n v="51479136"/>
    <n v="129731338"/>
    <x v="993"/>
  </r>
  <r>
    <s v="1997年度"/>
    <n v="35000"/>
    <x v="35"/>
    <n v="162572372"/>
    <n v="75278751"/>
    <n v="25190608"/>
    <n v="100469359"/>
    <x v="994"/>
  </r>
  <r>
    <s v="1997年度"/>
    <n v="36000"/>
    <x v="36"/>
    <n v="78724256"/>
    <n v="59789364"/>
    <n v="13487238"/>
    <n v="73276602"/>
    <x v="995"/>
  </r>
  <r>
    <s v="1997年度"/>
    <n v="37000"/>
    <x v="37"/>
    <n v="111854691"/>
    <n v="28729401"/>
    <n v="15634750"/>
    <n v="44364151"/>
    <x v="996"/>
  </r>
  <r>
    <s v="1997年度"/>
    <n v="38000"/>
    <x v="38"/>
    <n v="147429771"/>
    <n v="61361988"/>
    <n v="18940411"/>
    <n v="80302399"/>
    <x v="997"/>
  </r>
  <r>
    <s v="1997年度"/>
    <n v="39000"/>
    <x v="39"/>
    <n v="65883889"/>
    <n v="77598319"/>
    <n v="16508991"/>
    <n v="94107310"/>
    <x v="998"/>
  </r>
  <r>
    <s v="1997年度"/>
    <n v="40000"/>
    <x v="40"/>
    <n v="481083687"/>
    <n v="74610510"/>
    <n v="48594030"/>
    <n v="123204540"/>
    <x v="999"/>
  </r>
  <r>
    <s v="1997年度"/>
    <n v="41000"/>
    <x v="41"/>
    <n v="85572601"/>
    <n v="59145817"/>
    <n v="16196571"/>
    <n v="75342388"/>
    <x v="1000"/>
  </r>
  <r>
    <s v="1997年度"/>
    <n v="42000"/>
    <x v="42"/>
    <n v="118655822"/>
    <n v="108733376"/>
    <n v="25621792"/>
    <n v="134355168"/>
    <x v="1001"/>
  </r>
  <r>
    <s v="1997年度"/>
    <n v="43000"/>
    <x v="43"/>
    <n v="157466295"/>
    <n v="90635052"/>
    <n v="26380829"/>
    <n v="117015881"/>
    <x v="1002"/>
  </r>
  <r>
    <s v="1997年度"/>
    <n v="44000"/>
    <x v="44"/>
    <n v="108797765"/>
    <n v="77454803"/>
    <n v="19729735"/>
    <n v="97184538"/>
    <x v="1003"/>
  </r>
  <r>
    <s v="1997年度"/>
    <n v="45000"/>
    <x v="45"/>
    <n v="94484533"/>
    <n v="77351387"/>
    <n v="32431488"/>
    <n v="109782875"/>
    <x v="1004"/>
  </r>
  <r>
    <s v="1997年度"/>
    <n v="46000"/>
    <x v="46"/>
    <n v="142222312"/>
    <n v="147095311"/>
    <n v="49902864"/>
    <n v="196998175"/>
    <x v="1005"/>
  </r>
  <r>
    <s v="1997年度"/>
    <n v="47000"/>
    <x v="47"/>
    <n v="84818390"/>
    <n v="143476707"/>
    <n v="25324081"/>
    <n v="168800788"/>
    <x v="1006"/>
  </r>
  <r>
    <s v="1996年度"/>
    <s v="00000"/>
    <x v="0"/>
    <n v="16608264791"/>
    <n v="4554284376"/>
    <n v="1346768050"/>
    <n v="5901052426"/>
    <x v="1007"/>
  </r>
  <r>
    <s v="1996年度"/>
    <s v="01000"/>
    <x v="1"/>
    <n v="571715195"/>
    <n v="360790790"/>
    <n v="97030194"/>
    <n v="457820984"/>
    <x v="1008"/>
  </r>
  <r>
    <s v="1996年度"/>
    <s v="02000"/>
    <x v="2"/>
    <n v="120358709"/>
    <n v="98349357"/>
    <n v="27930638"/>
    <n v="126279995"/>
    <x v="1009"/>
  </r>
  <r>
    <s v="1996年度"/>
    <s v="03000"/>
    <x v="3"/>
    <n v="124161151"/>
    <n v="118483951"/>
    <n v="28483956"/>
    <n v="146967907"/>
    <x v="1010"/>
  </r>
  <r>
    <s v="1996年度"/>
    <s v="04000"/>
    <x v="4"/>
    <n v="259928273"/>
    <n v="92114700"/>
    <n v="25568919"/>
    <n v="117683619"/>
    <x v="1011"/>
  </r>
  <r>
    <s v="1996年度"/>
    <s v="05000"/>
    <x v="5"/>
    <n v="106103217"/>
    <n v="112481859"/>
    <n v="24293070"/>
    <n v="136774929"/>
    <x v="1012"/>
  </r>
  <r>
    <s v="1996年度"/>
    <s v="06000"/>
    <x v="6"/>
    <n v="111529818"/>
    <n v="85977733"/>
    <n v="23736033"/>
    <n v="109713766"/>
    <x v="1013"/>
  </r>
  <r>
    <s v="1996年度"/>
    <s v="07000"/>
    <x v="7"/>
    <n v="230552575"/>
    <n v="112003267"/>
    <n v="30303720"/>
    <n v="142306987"/>
    <x v="1014"/>
  </r>
  <r>
    <s v="1996年度"/>
    <s v="08000"/>
    <x v="8"/>
    <n v="327911442"/>
    <n v="78314160"/>
    <n v="32291965"/>
    <n v="110606125"/>
    <x v="1015"/>
  </r>
  <r>
    <s v="1996年度"/>
    <s v="09000"/>
    <x v="9"/>
    <n v="229907407"/>
    <n v="62478601"/>
    <n v="19514718"/>
    <n v="81993319"/>
    <x v="1016"/>
  </r>
  <r>
    <s v="1996年度"/>
    <n v="10000"/>
    <x v="10"/>
    <n v="229928973"/>
    <n v="72705040"/>
    <n v="23371727"/>
    <n v="96076767"/>
    <x v="1017"/>
  </r>
  <r>
    <s v="1996年度"/>
    <n v="11000"/>
    <x v="11"/>
    <n v="639129410"/>
    <n v="83606647"/>
    <n v="40316437"/>
    <n v="123923084"/>
    <x v="1018"/>
  </r>
  <r>
    <s v="1996年度"/>
    <n v="12000"/>
    <x v="12"/>
    <n v="573724867"/>
    <n v="97121271"/>
    <n v="38437050"/>
    <n v="135558321"/>
    <x v="1019"/>
  </r>
  <r>
    <s v="1996年度"/>
    <n v="13000"/>
    <x v="13"/>
    <n v="4381718081"/>
    <n v="197235227"/>
    <n v="64577536"/>
    <n v="261812763"/>
    <x v="1020"/>
  </r>
  <r>
    <s v="1996年度"/>
    <n v="14000"/>
    <x v="14"/>
    <n v="946497747"/>
    <n v="56479953"/>
    <n v="35846996"/>
    <n v="92326949"/>
    <x v="1021"/>
  </r>
  <r>
    <s v="1996年度"/>
    <n v="15000"/>
    <x v="15"/>
    <n v="269611306"/>
    <n v="203674589"/>
    <n v="35941821"/>
    <n v="239616410"/>
    <x v="1022"/>
  </r>
  <r>
    <s v="1996年度"/>
    <n v="16000"/>
    <x v="16"/>
    <n v="130252393"/>
    <n v="70483356"/>
    <n v="13508535"/>
    <n v="83991891"/>
    <x v="1023"/>
  </r>
  <r>
    <s v="1996年度"/>
    <n v="17000"/>
    <x v="17"/>
    <n v="138288178"/>
    <n v="64668828"/>
    <n v="15413050"/>
    <n v="80081878"/>
    <x v="1024"/>
  </r>
  <r>
    <s v="1996年度"/>
    <n v="18000"/>
    <x v="18"/>
    <n v="110774174"/>
    <n v="67459979"/>
    <n v="14746948"/>
    <n v="82206927"/>
    <x v="1025"/>
  </r>
  <r>
    <s v="1996年度"/>
    <n v="19000"/>
    <x v="19"/>
    <n v="96380513"/>
    <n v="68847660"/>
    <n v="7715159"/>
    <n v="76562819"/>
    <x v="1026"/>
  </r>
  <r>
    <s v="1996年度"/>
    <n v="20000"/>
    <x v="20"/>
    <n v="248152993"/>
    <n v="135010917"/>
    <n v="32463065"/>
    <n v="167473982"/>
    <x v="1027"/>
  </r>
  <r>
    <s v="1996年度"/>
    <n v="21000"/>
    <x v="21"/>
    <n v="231313861"/>
    <n v="85511330"/>
    <n v="24191270"/>
    <n v="109702600"/>
    <x v="1028"/>
  </r>
  <r>
    <s v="1996年度"/>
    <n v="22000"/>
    <x v="22"/>
    <n v="474191587"/>
    <n v="88120233"/>
    <n v="26498579"/>
    <n v="114618812"/>
    <x v="1029"/>
  </r>
  <r>
    <s v="1996年度"/>
    <n v="23000"/>
    <x v="23"/>
    <n v="1012211048"/>
    <n v="105679157"/>
    <n v="42184924"/>
    <n v="147864081"/>
    <x v="1030"/>
  </r>
  <r>
    <s v="1996年度"/>
    <n v="24000"/>
    <x v="24"/>
    <n v="210014869"/>
    <n v="63573842"/>
    <n v="17073284"/>
    <n v="80647126"/>
    <x v="1031"/>
  </r>
  <r>
    <s v="1996年度"/>
    <n v="25000"/>
    <x v="25"/>
    <n v="159630021"/>
    <n v="48051332"/>
    <n v="22448525"/>
    <n v="70499857"/>
    <x v="1032"/>
  </r>
  <r>
    <s v="1996年度"/>
    <n v="26000"/>
    <x v="26"/>
    <n v="291124082"/>
    <n v="47058494"/>
    <n v="17056502"/>
    <n v="64114996"/>
    <x v="1033"/>
  </r>
  <r>
    <s v="1996年度"/>
    <n v="27000"/>
    <x v="27"/>
    <n v="1154866576"/>
    <n v="118628187"/>
    <n v="51408776"/>
    <n v="170036963"/>
    <x v="1034"/>
  </r>
  <r>
    <s v="1996年度"/>
    <n v="28000"/>
    <x v="28"/>
    <n v="597948413"/>
    <n v="197772823"/>
    <n v="45900737"/>
    <n v="243673560"/>
    <x v="1035"/>
  </r>
  <r>
    <s v="1996年度"/>
    <n v="29000"/>
    <x v="29"/>
    <n v="123779501"/>
    <n v="38342124"/>
    <n v="14955041"/>
    <n v="53297165"/>
    <x v="1036"/>
  </r>
  <r>
    <s v="1996年度"/>
    <n v="30000"/>
    <x v="30"/>
    <n v="93199725"/>
    <n v="60519801"/>
    <n v="13903792"/>
    <n v="74423593"/>
    <x v="1037"/>
  </r>
  <r>
    <s v="1996年度"/>
    <n v="31000"/>
    <x v="31"/>
    <n v="56020643"/>
    <n v="48900235"/>
    <n v="17740328"/>
    <n v="66640563"/>
    <x v="1038"/>
  </r>
  <r>
    <s v="1996年度"/>
    <n v="32000"/>
    <x v="32"/>
    <n v="69357197"/>
    <n v="85002604"/>
    <n v="20183474"/>
    <n v="105186078"/>
    <x v="1039"/>
  </r>
  <r>
    <s v="1996年度"/>
    <n v="33000"/>
    <x v="33"/>
    <n v="198511124"/>
    <n v="66184795"/>
    <n v="25665607"/>
    <n v="91850402"/>
    <x v="1040"/>
  </r>
  <r>
    <s v="1996年度"/>
    <n v="34000"/>
    <x v="34"/>
    <n v="303044833"/>
    <n v="81163194"/>
    <n v="51256113"/>
    <n v="132419307"/>
    <x v="1041"/>
  </r>
  <r>
    <s v="1996年度"/>
    <n v="35000"/>
    <x v="35"/>
    <n v="164891426"/>
    <n v="75980638"/>
    <n v="24144944"/>
    <n v="100125582"/>
    <x v="1042"/>
  </r>
  <r>
    <s v="1996年度"/>
    <n v="36000"/>
    <x v="36"/>
    <n v="77444482"/>
    <n v="66506780"/>
    <n v="12411345"/>
    <n v="78918125"/>
    <x v="1043"/>
  </r>
  <r>
    <s v="1996年度"/>
    <n v="37000"/>
    <x v="37"/>
    <n v="114547487"/>
    <n v="35259273"/>
    <n v="15659853"/>
    <n v="50919126"/>
    <x v="1044"/>
  </r>
  <r>
    <s v="1996年度"/>
    <n v="38000"/>
    <x v="38"/>
    <n v="134023968"/>
    <n v="71517231"/>
    <n v="17815026"/>
    <n v="89332257"/>
    <x v="1045"/>
  </r>
  <r>
    <s v="1996年度"/>
    <n v="39000"/>
    <x v="39"/>
    <n v="65236748"/>
    <n v="84752284"/>
    <n v="16629964"/>
    <n v="101382248"/>
    <x v="1046"/>
  </r>
  <r>
    <s v="1996年度"/>
    <n v="40000"/>
    <x v="40"/>
    <n v="462740122"/>
    <n v="82516814"/>
    <n v="47956031"/>
    <n v="130472845"/>
    <x v="1047"/>
  </r>
  <r>
    <s v="1996年度"/>
    <n v="41000"/>
    <x v="41"/>
    <n v="83052596"/>
    <n v="62026267"/>
    <n v="15298175"/>
    <n v="77324442"/>
    <x v="1048"/>
  </r>
  <r>
    <s v="1996年度"/>
    <n v="42000"/>
    <x v="42"/>
    <n v="112958946"/>
    <n v="115950016"/>
    <n v="26395378"/>
    <n v="142345394"/>
    <x v="1049"/>
  </r>
  <r>
    <s v="1996年度"/>
    <n v="43000"/>
    <x v="43"/>
    <n v="152686175"/>
    <n v="99524670"/>
    <n v="30348040"/>
    <n v="129872710"/>
    <x v="1050"/>
  </r>
  <r>
    <s v="1996年度"/>
    <n v="44000"/>
    <x v="44"/>
    <n v="105018714"/>
    <n v="90633530"/>
    <n v="18671096"/>
    <n v="109304626"/>
    <x v="1051"/>
  </r>
  <r>
    <s v="1996年度"/>
    <n v="45000"/>
    <x v="45"/>
    <n v="92476927"/>
    <n v="80547442"/>
    <n v="32285734"/>
    <n v="112833176"/>
    <x v="1052"/>
  </r>
  <r>
    <s v="1996年度"/>
    <n v="46000"/>
    <x v="46"/>
    <n v="141979744"/>
    <n v="158108707"/>
    <n v="44138294"/>
    <n v="202247001"/>
    <x v="1053"/>
  </r>
  <r>
    <s v="1996年度"/>
    <n v="47000"/>
    <x v="47"/>
    <n v="79367554"/>
    <n v="158164688"/>
    <n v="23055681"/>
    <n v="181220369"/>
    <x v="1054"/>
  </r>
  <r>
    <s v="1995年度"/>
    <s v="00000"/>
    <x v="0"/>
    <n v="15728740977"/>
    <n v="4804039415"/>
    <n v="1295482883"/>
    <n v="6099522298"/>
    <x v="1055"/>
  </r>
  <r>
    <s v="1995年度"/>
    <s v="01000"/>
    <x v="1"/>
    <n v="543137516"/>
    <n v="383143707"/>
    <n v="78948162"/>
    <n v="462091869"/>
    <x v="1056"/>
  </r>
  <r>
    <s v="1995年度"/>
    <s v="02000"/>
    <x v="2"/>
    <n v="114496560"/>
    <n v="104231656"/>
    <n v="25392860"/>
    <n v="129624516"/>
    <x v="1057"/>
  </r>
  <r>
    <s v="1995年度"/>
    <s v="03000"/>
    <x v="3"/>
    <n v="121233322"/>
    <n v="118053067"/>
    <n v="22669639"/>
    <n v="140722706"/>
    <x v="1058"/>
  </r>
  <r>
    <s v="1995年度"/>
    <s v="04000"/>
    <x v="4"/>
    <n v="245234596"/>
    <n v="100068654"/>
    <n v="20938069"/>
    <n v="121006723"/>
    <x v="1059"/>
  </r>
  <r>
    <s v="1995年度"/>
    <s v="05000"/>
    <x v="5"/>
    <n v="105766613"/>
    <n v="106421192"/>
    <n v="17952159"/>
    <n v="124373351"/>
    <x v="1060"/>
  </r>
  <r>
    <s v="1995年度"/>
    <s v="06000"/>
    <x v="6"/>
    <n v="107898360"/>
    <n v="94081244"/>
    <n v="20885283"/>
    <n v="114966527"/>
    <x v="1061"/>
  </r>
  <r>
    <s v="1995年度"/>
    <s v="07000"/>
    <x v="7"/>
    <n v="227310851"/>
    <n v="126851549"/>
    <n v="27213446"/>
    <n v="154064995"/>
    <x v="1062"/>
  </r>
  <r>
    <s v="1995年度"/>
    <s v="08000"/>
    <x v="8"/>
    <n v="317116695"/>
    <n v="80061147"/>
    <n v="28684843"/>
    <n v="108745990"/>
    <x v="1063"/>
  </r>
  <r>
    <s v="1995年度"/>
    <s v="09000"/>
    <x v="9"/>
    <n v="230974630"/>
    <n v="68034761"/>
    <n v="16736644"/>
    <n v="84771405"/>
    <x v="1064"/>
  </r>
  <r>
    <s v="1995年度"/>
    <n v="10000"/>
    <x v="10"/>
    <n v="220860176"/>
    <n v="78553302"/>
    <n v="21469590"/>
    <n v="100022892"/>
    <x v="1065"/>
  </r>
  <r>
    <s v="1995年度"/>
    <n v="11000"/>
    <x v="11"/>
    <n v="626269320"/>
    <n v="90149169"/>
    <n v="36882092"/>
    <n v="127031261"/>
    <x v="1066"/>
  </r>
  <r>
    <s v="1995年度"/>
    <n v="12000"/>
    <x v="12"/>
    <n v="554231285"/>
    <n v="94692489"/>
    <n v="37523915"/>
    <n v="132216404"/>
    <x v="1067"/>
  </r>
  <r>
    <s v="1995年度"/>
    <n v="13000"/>
    <x v="13"/>
    <n v="3988651211"/>
    <n v="227260230"/>
    <n v="64532840"/>
    <n v="291793070"/>
    <x v="1068"/>
  </r>
  <r>
    <s v="1995年度"/>
    <n v="14000"/>
    <x v="14"/>
    <n v="917409532"/>
    <n v="65119382"/>
    <n v="32697915"/>
    <n v="97817297"/>
    <x v="1069"/>
  </r>
  <r>
    <s v="1995年度"/>
    <n v="15000"/>
    <x v="15"/>
    <n v="264283804"/>
    <n v="203788268"/>
    <n v="31113118"/>
    <n v="234901386"/>
    <x v="1070"/>
  </r>
  <r>
    <s v="1995年度"/>
    <n v="16000"/>
    <x v="16"/>
    <n v="126838300"/>
    <n v="70131321"/>
    <n v="16535083"/>
    <n v="86666404"/>
    <x v="1071"/>
  </r>
  <r>
    <s v="1995年度"/>
    <n v="17000"/>
    <x v="17"/>
    <n v="134770573"/>
    <n v="72138520"/>
    <n v="14634478"/>
    <n v="86772998"/>
    <x v="1072"/>
  </r>
  <r>
    <s v="1995年度"/>
    <n v="18000"/>
    <x v="18"/>
    <n v="114860767"/>
    <n v="67234161"/>
    <n v="14053386"/>
    <n v="81287547"/>
    <x v="1073"/>
  </r>
  <r>
    <s v="1995年度"/>
    <n v="19000"/>
    <x v="19"/>
    <n v="94932847"/>
    <n v="73235086"/>
    <n v="7449303"/>
    <n v="80684389"/>
    <x v="1074"/>
  </r>
  <r>
    <s v="1995年度"/>
    <n v="20000"/>
    <x v="20"/>
    <n v="242219144"/>
    <n v="134743913"/>
    <n v="30655169"/>
    <n v="165399082"/>
    <x v="1075"/>
  </r>
  <r>
    <s v="1995年度"/>
    <n v="21000"/>
    <x v="21"/>
    <n v="225041448"/>
    <n v="91207349"/>
    <n v="22593740"/>
    <n v="113801089"/>
    <x v="1076"/>
  </r>
  <r>
    <s v="1995年度"/>
    <n v="22000"/>
    <x v="22"/>
    <n v="463042457"/>
    <n v="98015059"/>
    <n v="25315580"/>
    <n v="123330639"/>
    <x v="1077"/>
  </r>
  <r>
    <s v="1995年度"/>
    <n v="23000"/>
    <x v="23"/>
    <n v="945171238"/>
    <n v="113791840"/>
    <n v="38745632"/>
    <n v="152537472"/>
    <x v="1078"/>
  </r>
  <r>
    <s v="1995年度"/>
    <n v="24000"/>
    <x v="24"/>
    <n v="200987977"/>
    <n v="71106710"/>
    <n v="15306380"/>
    <n v="86413090"/>
    <x v="1079"/>
  </r>
  <r>
    <s v="1995年度"/>
    <n v="25000"/>
    <x v="25"/>
    <n v="148863397"/>
    <n v="47644667"/>
    <n v="19480408"/>
    <n v="67125075"/>
    <x v="1080"/>
  </r>
  <r>
    <s v="1995年度"/>
    <n v="26000"/>
    <x v="26"/>
    <n v="275048749"/>
    <n v="51264580"/>
    <n v="15566035"/>
    <n v="66830615"/>
    <x v="1081"/>
  </r>
  <r>
    <s v="1995年度"/>
    <n v="27000"/>
    <x v="27"/>
    <n v="1092982185"/>
    <n v="131724233"/>
    <n v="53807917"/>
    <n v="185532150"/>
    <x v="1082"/>
  </r>
  <r>
    <s v="1995年度"/>
    <n v="28000"/>
    <x v="28"/>
    <n v="530268460"/>
    <n v="195281391"/>
    <n v="80172233"/>
    <n v="275453624"/>
    <x v="1083"/>
  </r>
  <r>
    <s v="1995年度"/>
    <n v="29000"/>
    <x v="29"/>
    <n v="119460369"/>
    <n v="43788940"/>
    <n v="14271803"/>
    <n v="58060743"/>
    <x v="1084"/>
  </r>
  <r>
    <s v="1995年度"/>
    <n v="30000"/>
    <x v="30"/>
    <n v="92224243"/>
    <n v="60562375"/>
    <n v="14789068"/>
    <n v="75351443"/>
    <x v="1085"/>
  </r>
  <r>
    <s v="1995年度"/>
    <n v="31000"/>
    <x v="31"/>
    <n v="54192793"/>
    <n v="57168678"/>
    <n v="15676357"/>
    <n v="72845035"/>
    <x v="1086"/>
  </r>
  <r>
    <s v="1995年度"/>
    <n v="32000"/>
    <x v="32"/>
    <n v="67475715"/>
    <n v="89527175"/>
    <n v="20959927"/>
    <n v="110487102"/>
    <x v="1087"/>
  </r>
  <r>
    <s v="1995年度"/>
    <n v="33000"/>
    <x v="33"/>
    <n v="197730965"/>
    <n v="69904288"/>
    <n v="23510726"/>
    <n v="93415014"/>
    <x v="1088"/>
  </r>
  <r>
    <s v="1995年度"/>
    <n v="34000"/>
    <x v="34"/>
    <n v="301400975"/>
    <n v="83753033"/>
    <n v="48271573"/>
    <n v="132024606"/>
    <x v="1089"/>
  </r>
  <r>
    <s v="1995年度"/>
    <n v="35000"/>
    <x v="35"/>
    <n v="154548226"/>
    <n v="84493447"/>
    <n v="22331828"/>
    <n v="106825275"/>
    <x v="1090"/>
  </r>
  <r>
    <s v="1995年度"/>
    <n v="36000"/>
    <x v="36"/>
    <n v="75124647"/>
    <n v="68304693"/>
    <n v="12187101"/>
    <n v="80491794"/>
    <x v="1091"/>
  </r>
  <r>
    <s v="1995年度"/>
    <n v="37000"/>
    <x v="37"/>
    <n v="107043523"/>
    <n v="37210424"/>
    <n v="13773087"/>
    <n v="50983511"/>
    <x v="1092"/>
  </r>
  <r>
    <s v="1995年度"/>
    <n v="38000"/>
    <x v="38"/>
    <n v="127738317"/>
    <n v="68444950"/>
    <n v="16112856"/>
    <n v="84557806"/>
    <x v="1093"/>
  </r>
  <r>
    <s v="1995年度"/>
    <n v="39000"/>
    <x v="39"/>
    <n v="62251920"/>
    <n v="87060241"/>
    <n v="16492117"/>
    <n v="103552358"/>
    <x v="1094"/>
  </r>
  <r>
    <s v="1995年度"/>
    <n v="40000"/>
    <x v="40"/>
    <n v="452648325"/>
    <n v="90797951"/>
    <n v="46521115"/>
    <n v="137319066"/>
    <x v="1095"/>
  </r>
  <r>
    <s v="1995年度"/>
    <n v="41000"/>
    <x v="41"/>
    <n v="83643248"/>
    <n v="74100366"/>
    <n v="12294541"/>
    <n v="86394907"/>
    <x v="1096"/>
  </r>
  <r>
    <s v="1995年度"/>
    <n v="42000"/>
    <x v="42"/>
    <n v="108112758"/>
    <n v="126404148"/>
    <n v="24597965"/>
    <n v="151002113"/>
    <x v="1097"/>
  </r>
  <r>
    <s v="1995年度"/>
    <n v="43000"/>
    <x v="43"/>
    <n v="143901638"/>
    <n v="107705194"/>
    <n v="45494031"/>
    <n v="153199225"/>
    <x v="1098"/>
  </r>
  <r>
    <s v="1995年度"/>
    <n v="44000"/>
    <x v="44"/>
    <n v="103042423"/>
    <n v="92870023"/>
    <n v="16949983"/>
    <n v="109820006"/>
    <x v="1099"/>
  </r>
  <r>
    <s v="1995年度"/>
    <n v="45000"/>
    <x v="45"/>
    <n v="90461600"/>
    <n v="85925559"/>
    <n v="32055296"/>
    <n v="117980855"/>
    <x v="1100"/>
  </r>
  <r>
    <s v="1995年度"/>
    <n v="46000"/>
    <x v="46"/>
    <n v="133606809"/>
    <n v="162300056"/>
    <n v="39269861"/>
    <n v="201569917"/>
    <x v="1101"/>
  </r>
  <r>
    <s v="1995年度"/>
    <n v="47000"/>
    <x v="47"/>
    <n v="74230470"/>
    <n v="155689227"/>
    <n v="21967729"/>
    <n v="177656956"/>
    <x v="1102"/>
  </r>
  <r>
    <s v="1994年度"/>
    <s v="00000"/>
    <x v="0"/>
    <n v="15352495984"/>
    <n v="4346540459"/>
    <n v="1279463957"/>
    <n v="5626004416"/>
    <x v="1103"/>
  </r>
  <r>
    <s v="1994年度"/>
    <s v="01000"/>
    <x v="1"/>
    <n v="543410529"/>
    <n v="328707742"/>
    <n v="79969193"/>
    <n v="408676935"/>
    <x v="1104"/>
  </r>
  <r>
    <s v="1994年度"/>
    <s v="02000"/>
    <x v="2"/>
    <n v="112951966"/>
    <n v="99558144"/>
    <n v="24572086"/>
    <n v="124130230"/>
    <x v="1105"/>
  </r>
  <r>
    <s v="1994年度"/>
    <s v="03000"/>
    <x v="3"/>
    <n v="117458411"/>
    <n v="116102960"/>
    <n v="21683425"/>
    <n v="137786385"/>
    <x v="1106"/>
  </r>
  <r>
    <s v="1994年度"/>
    <s v="04000"/>
    <x v="4"/>
    <n v="233562985"/>
    <n v="96495473"/>
    <n v="19894776"/>
    <n v="116390249"/>
    <x v="1107"/>
  </r>
  <r>
    <s v="1994年度"/>
    <s v="05000"/>
    <x v="5"/>
    <n v="100987731"/>
    <n v="99872960"/>
    <n v="17392033"/>
    <n v="117264993"/>
    <x v="1108"/>
  </r>
  <r>
    <s v="1994年度"/>
    <s v="06000"/>
    <x v="6"/>
    <n v="104822381"/>
    <n v="89946029"/>
    <n v="19537054"/>
    <n v="109483083"/>
    <x v="1109"/>
  </r>
  <r>
    <s v="1994年度"/>
    <s v="07000"/>
    <x v="7"/>
    <n v="218211314"/>
    <n v="117603752"/>
    <n v="25817014"/>
    <n v="143420766"/>
    <x v="1110"/>
  </r>
  <r>
    <s v="1994年度"/>
    <s v="08000"/>
    <x v="8"/>
    <n v="311889722"/>
    <n v="84412117"/>
    <n v="28116421"/>
    <n v="112528538"/>
    <x v="1111"/>
  </r>
  <r>
    <s v="1994年度"/>
    <s v="09000"/>
    <x v="9"/>
    <n v="219131892"/>
    <n v="59958033"/>
    <n v="15777171"/>
    <n v="75735204"/>
    <x v="1112"/>
  </r>
  <r>
    <s v="1994年度"/>
    <n v="10000"/>
    <x v="10"/>
    <n v="209817652"/>
    <n v="69851396"/>
    <n v="20319446"/>
    <n v="90170842"/>
    <x v="1113"/>
  </r>
  <r>
    <s v="1994年度"/>
    <n v="11000"/>
    <x v="11"/>
    <n v="605991908"/>
    <n v="86059080"/>
    <n v="35146367"/>
    <n v="121205447"/>
    <x v="1114"/>
  </r>
  <r>
    <s v="1994年度"/>
    <n v="12000"/>
    <x v="12"/>
    <n v="553716782"/>
    <n v="91968904"/>
    <n v="35917255"/>
    <n v="127886159"/>
    <x v="1115"/>
  </r>
  <r>
    <s v="1994年度"/>
    <n v="13000"/>
    <x v="13"/>
    <n v="3860077590"/>
    <n v="151306698"/>
    <n v="60023022"/>
    <n v="211329720"/>
    <x v="1116"/>
  </r>
  <r>
    <s v="1994年度"/>
    <n v="14000"/>
    <x v="14"/>
    <n v="886631396"/>
    <n v="57147040"/>
    <n v="30574117"/>
    <n v="87721157"/>
    <x v="1117"/>
  </r>
  <r>
    <s v="1994年度"/>
    <n v="15000"/>
    <x v="15"/>
    <n v="259162529"/>
    <n v="190796698"/>
    <n v="29932014"/>
    <n v="220728712"/>
    <x v="1118"/>
  </r>
  <r>
    <s v="1994年度"/>
    <n v="16000"/>
    <x v="16"/>
    <n v="123642340"/>
    <n v="67190505"/>
    <n v="15444882"/>
    <n v="82635387"/>
    <x v="1119"/>
  </r>
  <r>
    <s v="1994年度"/>
    <n v="17000"/>
    <x v="17"/>
    <n v="132306311"/>
    <n v="63645869"/>
    <n v="13803683"/>
    <n v="77449552"/>
    <x v="1120"/>
  </r>
  <r>
    <s v="1994年度"/>
    <n v="18000"/>
    <x v="18"/>
    <n v="107899581"/>
    <n v="64289612"/>
    <n v="12936285"/>
    <n v="77225897"/>
    <x v="1121"/>
  </r>
  <r>
    <s v="1994年度"/>
    <n v="19000"/>
    <x v="19"/>
    <n v="90016023"/>
    <n v="66218505"/>
    <n v="7216105"/>
    <n v="73434610"/>
    <x v="1122"/>
  </r>
  <r>
    <s v="1994年度"/>
    <n v="20000"/>
    <x v="20"/>
    <n v="231427344"/>
    <n v="124998923"/>
    <n v="28914823"/>
    <n v="153913746"/>
    <x v="1123"/>
  </r>
  <r>
    <s v="1994年度"/>
    <n v="21000"/>
    <x v="21"/>
    <n v="221465729"/>
    <n v="81147932"/>
    <n v="20481146"/>
    <n v="101629078"/>
    <x v="1124"/>
  </r>
  <r>
    <s v="1994年度"/>
    <n v="22000"/>
    <x v="22"/>
    <n v="453410100"/>
    <n v="91559912"/>
    <n v="24489403"/>
    <n v="116049315"/>
    <x v="1125"/>
  </r>
  <r>
    <s v="1994年度"/>
    <n v="23000"/>
    <x v="23"/>
    <n v="920884433"/>
    <n v="104531354"/>
    <n v="37742264"/>
    <n v="142273618"/>
    <x v="1126"/>
  </r>
  <r>
    <s v="1994年度"/>
    <n v="24000"/>
    <x v="24"/>
    <n v="197970903"/>
    <n v="66580621"/>
    <n v="14288329"/>
    <n v="80868950"/>
    <x v="1127"/>
  </r>
  <r>
    <s v="1994年度"/>
    <n v="25000"/>
    <x v="25"/>
    <n v="140675107"/>
    <n v="46578682"/>
    <n v="20173018"/>
    <n v="66751700"/>
    <x v="1128"/>
  </r>
  <r>
    <s v="1994年度"/>
    <n v="26000"/>
    <x v="26"/>
    <n v="275193948"/>
    <n v="42550793"/>
    <n v="14254515"/>
    <n v="56805308"/>
    <x v="1129"/>
  </r>
  <r>
    <s v="1994年度"/>
    <n v="27000"/>
    <x v="27"/>
    <n v="1097584849"/>
    <n v="93380766"/>
    <n v="49294751"/>
    <n v="142675517"/>
    <x v="1130"/>
  </r>
  <r>
    <s v="1994年度"/>
    <n v="28000"/>
    <x v="28"/>
    <n v="544033070"/>
    <n v="147161037"/>
    <n v="142710642"/>
    <n v="289871679"/>
    <x v="1131"/>
  </r>
  <r>
    <s v="1994年度"/>
    <n v="29000"/>
    <x v="29"/>
    <n v="112521640"/>
    <n v="39862412"/>
    <n v="13222035"/>
    <n v="53084447"/>
    <x v="1132"/>
  </r>
  <r>
    <s v="1994年度"/>
    <n v="30000"/>
    <x v="30"/>
    <n v="97022594"/>
    <n v="61797173"/>
    <n v="14228328"/>
    <n v="76025501"/>
    <x v="1133"/>
  </r>
  <r>
    <s v="1994年度"/>
    <n v="31000"/>
    <x v="31"/>
    <n v="52698581"/>
    <n v="51969906"/>
    <n v="15631495"/>
    <n v="67601401"/>
    <x v="1134"/>
  </r>
  <r>
    <s v="1994年度"/>
    <n v="32000"/>
    <x v="32"/>
    <n v="65035655"/>
    <n v="84883724"/>
    <n v="18355955"/>
    <n v="103239679"/>
    <x v="1135"/>
  </r>
  <r>
    <s v="1994年度"/>
    <n v="33000"/>
    <x v="33"/>
    <n v="192542714"/>
    <n v="67878607"/>
    <n v="22714957"/>
    <n v="90593564"/>
    <x v="1136"/>
  </r>
  <r>
    <s v="1994年度"/>
    <n v="34000"/>
    <x v="34"/>
    <n v="287343921"/>
    <n v="82421144"/>
    <n v="47906644"/>
    <n v="130327788"/>
    <x v="1137"/>
  </r>
  <r>
    <s v="1994年度"/>
    <n v="35000"/>
    <x v="35"/>
    <n v="150968774"/>
    <n v="77949321"/>
    <n v="20901692"/>
    <n v="98851013"/>
    <x v="1138"/>
  </r>
  <r>
    <s v="1994年度"/>
    <n v="36000"/>
    <x v="36"/>
    <n v="72909076"/>
    <n v="65432438"/>
    <n v="10973215"/>
    <n v="76405653"/>
    <x v="1139"/>
  </r>
  <r>
    <s v="1994年度"/>
    <n v="37000"/>
    <x v="37"/>
    <n v="106659016"/>
    <n v="33188800"/>
    <n v="12497010"/>
    <n v="45685810"/>
    <x v="1140"/>
  </r>
  <r>
    <s v="1994年度"/>
    <n v="38000"/>
    <x v="38"/>
    <n v="130738494"/>
    <n v="63217904"/>
    <n v="15962041"/>
    <n v="79179945"/>
    <x v="1141"/>
  </r>
  <r>
    <s v="1994年度"/>
    <n v="39000"/>
    <x v="39"/>
    <n v="59873813"/>
    <n v="83820749"/>
    <n v="15772294"/>
    <n v="99593043"/>
    <x v="1142"/>
  </r>
  <r>
    <s v="1994年度"/>
    <n v="40000"/>
    <x v="40"/>
    <n v="433791923"/>
    <n v="82594348"/>
    <n v="44166720"/>
    <n v="126761068"/>
    <x v="1143"/>
  </r>
  <r>
    <s v="1994年度"/>
    <n v="41000"/>
    <x v="41"/>
    <n v="83034559"/>
    <n v="69678293"/>
    <n v="11878317"/>
    <n v="81556610"/>
    <x v="1144"/>
  </r>
  <r>
    <s v="1994年度"/>
    <n v="42000"/>
    <x v="42"/>
    <n v="105561330"/>
    <n v="111023850"/>
    <n v="23797253"/>
    <n v="134821103"/>
    <x v="1145"/>
  </r>
  <r>
    <s v="1994年度"/>
    <n v="43000"/>
    <x v="43"/>
    <n v="138376064"/>
    <n v="104307685"/>
    <n v="22215966"/>
    <n v="126523651"/>
    <x v="1146"/>
  </r>
  <r>
    <s v="1994年度"/>
    <n v="44000"/>
    <x v="44"/>
    <n v="101965115"/>
    <n v="89903916"/>
    <n v="16169328"/>
    <n v="106073244"/>
    <x v="1147"/>
  </r>
  <r>
    <s v="1994年度"/>
    <n v="45000"/>
    <x v="45"/>
    <n v="85307893"/>
    <n v="82537296"/>
    <n v="28454333"/>
    <n v="110991629"/>
    <x v="1148"/>
  </r>
  <r>
    <s v="1994年度"/>
    <n v="46000"/>
    <x v="46"/>
    <n v="129057520"/>
    <n v="155244981"/>
    <n v="36793307"/>
    <n v="192038288"/>
    <x v="1149"/>
  </r>
  <r>
    <s v="1994年度"/>
    <n v="47000"/>
    <x v="47"/>
    <n v="72752776"/>
    <n v="139206375"/>
    <n v="21401827"/>
    <n v="160608202"/>
    <x v="1150"/>
  </r>
  <r>
    <s v="1993年度"/>
    <s v="00000"/>
    <x v="0"/>
    <n v="15615901862"/>
    <n v="4302459681"/>
    <n v="1170365888"/>
    <n v="5472825569"/>
    <x v="1151"/>
  </r>
  <r>
    <s v="1993年度"/>
    <s v="01000"/>
    <x v="1"/>
    <n v="520534335"/>
    <n v="335404459"/>
    <n v="81880860"/>
    <n v="417285319"/>
    <x v="1152"/>
  </r>
  <r>
    <s v="1993年度"/>
    <s v="02000"/>
    <x v="2"/>
    <n v="104088354"/>
    <n v="99367996"/>
    <n v="24331301"/>
    <n v="123699297"/>
    <x v="1153"/>
  </r>
  <r>
    <s v="1993年度"/>
    <s v="03000"/>
    <x v="3"/>
    <n v="109316215"/>
    <n v="107405772"/>
    <n v="21201844"/>
    <n v="128607616"/>
    <x v="1154"/>
  </r>
  <r>
    <s v="1993年度"/>
    <s v="04000"/>
    <x v="4"/>
    <n v="234168001"/>
    <n v="92348574"/>
    <n v="20277030"/>
    <n v="112625604"/>
    <x v="1155"/>
  </r>
  <r>
    <s v="1993年度"/>
    <s v="05000"/>
    <x v="5"/>
    <n v="91856115"/>
    <n v="91473549"/>
    <n v="17631403"/>
    <n v="109104952"/>
    <x v="1156"/>
  </r>
  <r>
    <s v="1993年度"/>
    <s v="06000"/>
    <x v="6"/>
    <n v="100707688"/>
    <n v="84669774"/>
    <n v="18885038"/>
    <n v="103554812"/>
    <x v="1157"/>
  </r>
  <r>
    <s v="1993年度"/>
    <s v="07000"/>
    <x v="7"/>
    <n v="211950603"/>
    <n v="111373021"/>
    <n v="25532130"/>
    <n v="136905151"/>
    <x v="1158"/>
  </r>
  <r>
    <s v="1993年度"/>
    <s v="08000"/>
    <x v="8"/>
    <n v="312240215"/>
    <n v="79514623"/>
    <n v="27691783"/>
    <n v="107206406"/>
    <x v="1159"/>
  </r>
  <r>
    <s v="1993年度"/>
    <s v="09000"/>
    <x v="9"/>
    <n v="218824889"/>
    <n v="60124486"/>
    <n v="17771532"/>
    <n v="77896018"/>
    <x v="1160"/>
  </r>
  <r>
    <s v="1993年度"/>
    <n v="10000"/>
    <x v="10"/>
    <n v="212100693"/>
    <n v="72585390"/>
    <n v="20705606"/>
    <n v="93290996"/>
    <x v="1161"/>
  </r>
  <r>
    <s v="1993年度"/>
    <n v="11000"/>
    <x v="11"/>
    <n v="628566892"/>
    <n v="83110646"/>
    <n v="35338311"/>
    <n v="118448957"/>
    <x v="1162"/>
  </r>
  <r>
    <s v="1993年度"/>
    <n v="12000"/>
    <x v="12"/>
    <n v="565227862"/>
    <n v="83740517"/>
    <n v="35625205"/>
    <n v="119365722"/>
    <x v="1163"/>
  </r>
  <r>
    <s v="1993年度"/>
    <n v="13000"/>
    <x v="13"/>
    <n v="4057162283"/>
    <n v="185897424"/>
    <n v="60529264"/>
    <n v="246426688"/>
    <x v="1164"/>
  </r>
  <r>
    <s v="1993年度"/>
    <n v="14000"/>
    <x v="14"/>
    <n v="921001025"/>
    <n v="55279728"/>
    <n v="30560401"/>
    <n v="85840129"/>
    <x v="1165"/>
  </r>
  <r>
    <s v="1993年度"/>
    <n v="15000"/>
    <x v="15"/>
    <n v="253877205"/>
    <n v="182085885"/>
    <n v="29416623"/>
    <n v="211502508"/>
    <x v="1166"/>
  </r>
  <r>
    <s v="1993年度"/>
    <n v="16000"/>
    <x v="16"/>
    <n v="126119018"/>
    <n v="65724538"/>
    <n v="15707085"/>
    <n v="81431623"/>
    <x v="1167"/>
  </r>
  <r>
    <s v="1993年度"/>
    <n v="17000"/>
    <x v="17"/>
    <n v="128986625"/>
    <n v="63396177"/>
    <n v="15566642"/>
    <n v="78962819"/>
    <x v="1168"/>
  </r>
  <r>
    <s v="1993年度"/>
    <n v="18000"/>
    <x v="18"/>
    <n v="108167862"/>
    <n v="63120920"/>
    <n v="14496266"/>
    <n v="77617186"/>
    <x v="1169"/>
  </r>
  <r>
    <s v="1993年度"/>
    <n v="19000"/>
    <x v="19"/>
    <n v="87908931"/>
    <n v="66988131"/>
    <n v="7468073"/>
    <n v="74456204"/>
    <x v="1170"/>
  </r>
  <r>
    <s v="1993年度"/>
    <n v="20000"/>
    <x v="20"/>
    <n v="226599414"/>
    <n v="116730666"/>
    <n v="32337726"/>
    <n v="149068392"/>
    <x v="1171"/>
  </r>
  <r>
    <s v="1993年度"/>
    <n v="21000"/>
    <x v="21"/>
    <n v="220119958"/>
    <n v="85222171"/>
    <n v="20805459"/>
    <n v="106027630"/>
    <x v="1172"/>
  </r>
  <r>
    <s v="1993年度"/>
    <n v="22000"/>
    <x v="22"/>
    <n v="449528274"/>
    <n v="89538518"/>
    <n v="23808628"/>
    <n v="113347146"/>
    <x v="1173"/>
  </r>
  <r>
    <s v="1993年度"/>
    <n v="23000"/>
    <x v="23"/>
    <n v="955176976"/>
    <n v="109000921"/>
    <n v="38355778"/>
    <n v="147356699"/>
    <x v="1174"/>
  </r>
  <r>
    <s v="1993年度"/>
    <n v="24000"/>
    <x v="24"/>
    <n v="194891368"/>
    <n v="65217630"/>
    <n v="14668589"/>
    <n v="79886219"/>
    <x v="1175"/>
  </r>
  <r>
    <s v="1993年度"/>
    <n v="25000"/>
    <x v="25"/>
    <n v="139818315"/>
    <n v="46308400"/>
    <n v="20154478"/>
    <n v="66462878"/>
    <x v="1176"/>
  </r>
  <r>
    <s v="1993年度"/>
    <n v="26000"/>
    <x v="26"/>
    <n v="280023251"/>
    <n v="46619385"/>
    <n v="15263175"/>
    <n v="61882560"/>
    <x v="1177"/>
  </r>
  <r>
    <s v="1993年度"/>
    <n v="27000"/>
    <x v="27"/>
    <n v="1136940327"/>
    <n v="113049869"/>
    <n v="48221440"/>
    <n v="161271309"/>
    <x v="1178"/>
  </r>
  <r>
    <s v="1993年度"/>
    <n v="28000"/>
    <x v="28"/>
    <n v="573778774"/>
    <n v="120362943"/>
    <n v="37762727"/>
    <n v="158125670"/>
    <x v="1179"/>
  </r>
  <r>
    <s v="1993年度"/>
    <n v="29000"/>
    <x v="29"/>
    <n v="115038776"/>
    <n v="42052229"/>
    <n v="12180393"/>
    <n v="54232622"/>
    <x v="1180"/>
  </r>
  <r>
    <s v="1993年度"/>
    <n v="30000"/>
    <x v="30"/>
    <n v="94087504"/>
    <n v="60110264"/>
    <n v="13329060"/>
    <n v="73439324"/>
    <x v="1181"/>
  </r>
  <r>
    <s v="1993年度"/>
    <n v="31000"/>
    <x v="31"/>
    <n v="48563926"/>
    <n v="49665587"/>
    <n v="14355158"/>
    <n v="64020745"/>
    <x v="1182"/>
  </r>
  <r>
    <s v="1993年度"/>
    <n v="32000"/>
    <x v="32"/>
    <n v="61476802"/>
    <n v="83678059"/>
    <n v="18228644"/>
    <n v="101906703"/>
    <x v="1183"/>
  </r>
  <r>
    <s v="1993年度"/>
    <n v="33000"/>
    <x v="33"/>
    <n v="192503992"/>
    <n v="65503648"/>
    <n v="22032129"/>
    <n v="87535777"/>
    <x v="1184"/>
  </r>
  <r>
    <s v="1993年度"/>
    <n v="34000"/>
    <x v="34"/>
    <n v="292967332"/>
    <n v="83169581"/>
    <n v="45821790"/>
    <n v="128991371"/>
    <x v="1185"/>
  </r>
  <r>
    <s v="1993年度"/>
    <n v="35000"/>
    <x v="35"/>
    <n v="150462806"/>
    <n v="76592765"/>
    <n v="20017135"/>
    <n v="96609900"/>
    <x v="1186"/>
  </r>
  <r>
    <s v="1993年度"/>
    <n v="36000"/>
    <x v="36"/>
    <n v="68752905"/>
    <n v="59658575"/>
    <n v="11590696"/>
    <n v="71249271"/>
    <x v="1187"/>
  </r>
  <r>
    <s v="1993年度"/>
    <n v="37000"/>
    <x v="37"/>
    <n v="106374526"/>
    <n v="33014217"/>
    <n v="12369215"/>
    <n v="45383432"/>
    <x v="1188"/>
  </r>
  <r>
    <s v="1993年度"/>
    <n v="38000"/>
    <x v="38"/>
    <n v="125347186"/>
    <n v="71877305"/>
    <n v="16007684"/>
    <n v="87884989"/>
    <x v="1189"/>
  </r>
  <r>
    <s v="1993年度"/>
    <n v="39000"/>
    <x v="39"/>
    <n v="58985535"/>
    <n v="78248205"/>
    <n v="15121096"/>
    <n v="93369301"/>
    <x v="1190"/>
  </r>
  <r>
    <s v="1993年度"/>
    <n v="40000"/>
    <x v="40"/>
    <n v="436330405"/>
    <n v="86193703"/>
    <n v="41486302"/>
    <n v="127680005"/>
    <x v="1191"/>
  </r>
  <r>
    <s v="1993年度"/>
    <n v="41000"/>
    <x v="41"/>
    <n v="73993925"/>
    <n v="63537933"/>
    <n v="12809811"/>
    <n v="76347744"/>
    <x v="1192"/>
  </r>
  <r>
    <s v="1993年度"/>
    <n v="42000"/>
    <x v="42"/>
    <n v="109534838"/>
    <n v="113295736"/>
    <n v="24423808"/>
    <n v="137719544"/>
    <x v="1193"/>
  </r>
  <r>
    <s v="1993年度"/>
    <n v="43000"/>
    <x v="43"/>
    <n v="136433659"/>
    <n v="107538697"/>
    <n v="20753223"/>
    <n v="128291920"/>
    <x v="1194"/>
  </r>
  <r>
    <s v="1993年度"/>
    <n v="44000"/>
    <x v="44"/>
    <n v="100272142"/>
    <n v="91232062"/>
    <n v="18101398"/>
    <n v="109333460"/>
    <x v="1195"/>
  </r>
  <r>
    <s v="1993年度"/>
    <n v="45000"/>
    <x v="45"/>
    <n v="81540767"/>
    <n v="79366551"/>
    <n v="26104120"/>
    <n v="105470671"/>
    <x v="1196"/>
  </r>
  <r>
    <s v="1993年度"/>
    <n v="46000"/>
    <x v="46"/>
    <n v="120036944"/>
    <n v="145304779"/>
    <n v="32603380"/>
    <n v="177908159"/>
    <x v="1197"/>
  </r>
  <r>
    <s v="1993年度"/>
    <n v="47000"/>
    <x v="47"/>
    <n v="73516424"/>
    <n v="136757672"/>
    <n v="21036449"/>
    <n v="157794121"/>
    <x v="1198"/>
  </r>
  <r>
    <s v="1992年度"/>
    <s v="00000"/>
    <x v="0"/>
    <n v="16626811342"/>
    <n v="3781016738"/>
    <n v="1161844055"/>
    <n v="4942860793"/>
    <x v="1199"/>
  </r>
  <r>
    <s v="1992年度"/>
    <s v="01000"/>
    <x v="1"/>
    <n v="537604383"/>
    <n v="315183229"/>
    <n v="80970748"/>
    <n v="396153977"/>
    <x v="1200"/>
  </r>
  <r>
    <s v="1992年度"/>
    <s v="02000"/>
    <x v="2"/>
    <n v="103766213"/>
    <n v="86658090"/>
    <n v="22343291"/>
    <n v="109001381"/>
    <x v="1201"/>
  </r>
  <r>
    <s v="1992年度"/>
    <s v="03000"/>
    <x v="3"/>
    <n v="109110327"/>
    <n v="95777119"/>
    <n v="20328734"/>
    <n v="116105853"/>
    <x v="1202"/>
  </r>
  <r>
    <s v="1992年度"/>
    <s v="04000"/>
    <x v="4"/>
    <n v="236441777"/>
    <n v="81746996"/>
    <n v="20017964"/>
    <n v="101764960"/>
    <x v="1203"/>
  </r>
  <r>
    <s v="1992年度"/>
    <s v="05000"/>
    <x v="5"/>
    <n v="91698888"/>
    <n v="80727633"/>
    <n v="18155235"/>
    <n v="98882868"/>
    <x v="1204"/>
  </r>
  <r>
    <s v="1992年度"/>
    <s v="06000"/>
    <x v="6"/>
    <n v="102177802"/>
    <n v="78770179"/>
    <n v="18994925"/>
    <n v="97765104"/>
    <x v="1205"/>
  </r>
  <r>
    <s v="1992年度"/>
    <s v="07000"/>
    <x v="7"/>
    <n v="217731267"/>
    <n v="97013421"/>
    <n v="26704127"/>
    <n v="123717548"/>
    <x v="1206"/>
  </r>
  <r>
    <s v="1992年度"/>
    <s v="08000"/>
    <x v="8"/>
    <n v="325461123"/>
    <n v="69341502"/>
    <n v="27708909"/>
    <n v="97050411"/>
    <x v="1207"/>
  </r>
  <r>
    <s v="1992年度"/>
    <s v="09000"/>
    <x v="9"/>
    <n v="237929631"/>
    <n v="55491973"/>
    <n v="17840571"/>
    <n v="73332544"/>
    <x v="1208"/>
  </r>
  <r>
    <s v="1992年度"/>
    <n v="10000"/>
    <x v="10"/>
    <n v="226968926"/>
    <n v="64140614"/>
    <n v="21840597"/>
    <n v="85981211"/>
    <x v="1209"/>
  </r>
  <r>
    <s v="1992年度"/>
    <n v="11000"/>
    <x v="11"/>
    <n v="659266557"/>
    <n v="70028582"/>
    <n v="33699485"/>
    <n v="103728067"/>
    <x v="1210"/>
  </r>
  <r>
    <s v="1992年度"/>
    <n v="12000"/>
    <x v="12"/>
    <n v="587534278"/>
    <n v="73880838"/>
    <n v="35919455"/>
    <n v="109800293"/>
    <x v="1211"/>
  </r>
  <r>
    <s v="1992年度"/>
    <n v="13000"/>
    <x v="13"/>
    <n v="4376821698"/>
    <n v="128100940"/>
    <n v="62694509"/>
    <n v="190795449"/>
    <x v="1212"/>
  </r>
  <r>
    <s v="1992年度"/>
    <n v="14000"/>
    <x v="14"/>
    <n v="990862941"/>
    <n v="47852996"/>
    <n v="28437299"/>
    <n v="76290295"/>
    <x v="1213"/>
  </r>
  <r>
    <s v="1992年度"/>
    <n v="15000"/>
    <x v="15"/>
    <n v="257734211"/>
    <n v="166295086"/>
    <n v="29562058"/>
    <n v="195857144"/>
    <x v="1214"/>
  </r>
  <r>
    <s v="1992年度"/>
    <n v="16000"/>
    <x v="16"/>
    <n v="129254451"/>
    <n v="61743144"/>
    <n v="14904459"/>
    <n v="76647603"/>
    <x v="1215"/>
  </r>
  <r>
    <s v="1992年度"/>
    <n v="17000"/>
    <x v="17"/>
    <n v="136201958"/>
    <n v="54646503"/>
    <n v="16046186"/>
    <n v="70692689"/>
    <x v="1216"/>
  </r>
  <r>
    <s v="1992年度"/>
    <n v="18000"/>
    <x v="18"/>
    <n v="116799595"/>
    <n v="53939755"/>
    <n v="12768469"/>
    <n v="66708224"/>
    <x v="1217"/>
  </r>
  <r>
    <s v="1992年度"/>
    <n v="19000"/>
    <x v="19"/>
    <n v="95259485"/>
    <n v="61542718"/>
    <n v="7976317"/>
    <n v="69519035"/>
    <x v="1218"/>
  </r>
  <r>
    <s v="1992年度"/>
    <n v="20000"/>
    <x v="20"/>
    <n v="239260503"/>
    <n v="102172754"/>
    <n v="28102896"/>
    <n v="130275650"/>
    <x v="1219"/>
  </r>
  <r>
    <s v="1992年度"/>
    <n v="21000"/>
    <x v="21"/>
    <n v="233652595"/>
    <n v="72161140"/>
    <n v="23958450"/>
    <n v="96119590"/>
    <x v="1220"/>
  </r>
  <r>
    <s v="1992年度"/>
    <n v="22000"/>
    <x v="22"/>
    <n v="494194710"/>
    <n v="82769649"/>
    <n v="25477891"/>
    <n v="108247540"/>
    <x v="1221"/>
  </r>
  <r>
    <s v="1992年度"/>
    <n v="23000"/>
    <x v="23"/>
    <n v="1058844399"/>
    <n v="91843535"/>
    <n v="37337134"/>
    <n v="129180669"/>
    <x v="1222"/>
  </r>
  <r>
    <s v="1992年度"/>
    <n v="24000"/>
    <x v="24"/>
    <n v="205291775"/>
    <n v="60332571"/>
    <n v="15094481"/>
    <n v="75427052"/>
    <x v="1223"/>
  </r>
  <r>
    <s v="1992年度"/>
    <n v="25000"/>
    <x v="25"/>
    <n v="148431018"/>
    <n v="41641672"/>
    <n v="20371616"/>
    <n v="62013288"/>
    <x v="1224"/>
  </r>
  <r>
    <s v="1992年度"/>
    <n v="26000"/>
    <x v="26"/>
    <n v="301978452"/>
    <n v="37621213"/>
    <n v="15722979"/>
    <n v="53344192"/>
    <x v="1225"/>
  </r>
  <r>
    <s v="1992年度"/>
    <n v="27000"/>
    <x v="27"/>
    <n v="1275730192"/>
    <n v="95160454"/>
    <n v="45719001"/>
    <n v="140879455"/>
    <x v="1226"/>
  </r>
  <r>
    <s v="1992年度"/>
    <n v="28000"/>
    <x v="28"/>
    <n v="606906784"/>
    <n v="107674699"/>
    <n v="37959388"/>
    <n v="145634087"/>
    <x v="1227"/>
  </r>
  <r>
    <s v="1992年度"/>
    <n v="29000"/>
    <x v="29"/>
    <n v="118435297"/>
    <n v="33568964"/>
    <n v="11690104"/>
    <n v="45259068"/>
    <x v="1228"/>
  </r>
  <r>
    <s v="1992年度"/>
    <n v="30000"/>
    <x v="30"/>
    <n v="97604821"/>
    <n v="50021277"/>
    <n v="13608151"/>
    <n v="63629428"/>
    <x v="1229"/>
  </r>
  <r>
    <s v="1992年度"/>
    <n v="31000"/>
    <x v="31"/>
    <n v="49706452"/>
    <n v="44921961"/>
    <n v="13405044"/>
    <n v="58327005"/>
    <x v="1230"/>
  </r>
  <r>
    <s v="1992年度"/>
    <n v="32000"/>
    <x v="32"/>
    <n v="63230250"/>
    <n v="77187933"/>
    <n v="17263490"/>
    <n v="94451423"/>
    <x v="1231"/>
  </r>
  <r>
    <s v="1992年度"/>
    <n v="33000"/>
    <x v="33"/>
    <n v="197360444"/>
    <n v="56663833"/>
    <n v="23350456"/>
    <n v="80014289"/>
    <x v="1232"/>
  </r>
  <r>
    <s v="1992年度"/>
    <n v="34000"/>
    <x v="34"/>
    <n v="312076480"/>
    <n v="76069249"/>
    <n v="44088061"/>
    <n v="120157310"/>
    <x v="1233"/>
  </r>
  <r>
    <s v="1992年度"/>
    <n v="35000"/>
    <x v="35"/>
    <n v="155198262"/>
    <n v="69844519"/>
    <n v="19857932"/>
    <n v="89702451"/>
    <x v="1234"/>
  </r>
  <r>
    <s v="1992年度"/>
    <n v="36000"/>
    <x v="36"/>
    <n v="68624114"/>
    <n v="51915088"/>
    <n v="11994087"/>
    <n v="63909175"/>
    <x v="1235"/>
  </r>
  <r>
    <s v="1992年度"/>
    <n v="37000"/>
    <x v="37"/>
    <n v="114430941"/>
    <n v="32386319"/>
    <n v="11682041"/>
    <n v="44068360"/>
    <x v="1236"/>
  </r>
  <r>
    <s v="1992年度"/>
    <n v="38000"/>
    <x v="38"/>
    <n v="127798701"/>
    <n v="55882190"/>
    <n v="16572671"/>
    <n v="72454861"/>
    <x v="1237"/>
  </r>
  <r>
    <s v="1992年度"/>
    <n v="39000"/>
    <x v="39"/>
    <n v="59871577"/>
    <n v="69270939"/>
    <n v="15214106"/>
    <n v="84485045"/>
    <x v="1238"/>
  </r>
  <r>
    <s v="1992年度"/>
    <n v="40000"/>
    <x v="40"/>
    <n v="456497978"/>
    <n v="79015298"/>
    <n v="41757583"/>
    <n v="120772881"/>
    <x v="1239"/>
  </r>
  <r>
    <s v="1992年度"/>
    <n v="41000"/>
    <x v="41"/>
    <n v="73862176"/>
    <n v="58267605"/>
    <n v="12848054"/>
    <n v="71115659"/>
    <x v="1240"/>
  </r>
  <r>
    <s v="1992年度"/>
    <n v="42000"/>
    <x v="42"/>
    <n v="113168224"/>
    <n v="102209195"/>
    <n v="25396874"/>
    <n v="127606069"/>
    <x v="1241"/>
  </r>
  <r>
    <s v="1992年度"/>
    <n v="43000"/>
    <x v="43"/>
    <n v="139943835"/>
    <n v="90669963"/>
    <n v="22356448"/>
    <n v="113026411"/>
    <x v="1242"/>
  </r>
  <r>
    <s v="1992年度"/>
    <n v="44000"/>
    <x v="44"/>
    <n v="100179226"/>
    <n v="79087959"/>
    <n v="17438760"/>
    <n v="96526719"/>
    <x v="1243"/>
  </r>
  <r>
    <s v="1992年度"/>
    <n v="45000"/>
    <x v="45"/>
    <n v="80290858"/>
    <n v="71914086"/>
    <n v="23342337"/>
    <n v="95256423"/>
    <x v="1244"/>
  </r>
  <r>
    <s v="1992年度"/>
    <n v="46000"/>
    <x v="46"/>
    <n v="120393041"/>
    <n v="127979655"/>
    <n v="31386701"/>
    <n v="159366356"/>
    <x v="1245"/>
  </r>
  <r>
    <s v="1992年度"/>
    <n v="47000"/>
    <x v="47"/>
    <n v="75222726"/>
    <n v="119881700"/>
    <n v="21933981"/>
    <n v="141815681"/>
    <x v="1246"/>
  </r>
  <r>
    <s v="1991年度"/>
    <s v="00000"/>
    <x v="0"/>
    <n v="17984766257"/>
    <n v="2622193963"/>
    <n v="1087442726"/>
    <n v="3709636689"/>
    <x v="1247"/>
  </r>
  <r>
    <s v="1991年度"/>
    <s v="01000"/>
    <x v="1"/>
    <n v="563550938"/>
    <n v="207227750"/>
    <n v="78752012"/>
    <n v="285979762"/>
    <x v="1248"/>
  </r>
  <r>
    <s v="1991年度"/>
    <s v="02000"/>
    <x v="2"/>
    <n v="104495747"/>
    <n v="55885344"/>
    <n v="18709663"/>
    <n v="74595007"/>
    <x v="1249"/>
  </r>
  <r>
    <s v="1991年度"/>
    <s v="03000"/>
    <x v="3"/>
    <n v="113214032"/>
    <n v="66828013"/>
    <n v="19334741"/>
    <n v="86162754"/>
    <x v="1250"/>
  </r>
  <r>
    <s v="1991年度"/>
    <s v="04000"/>
    <x v="4"/>
    <n v="249599403"/>
    <n v="52459172"/>
    <n v="19453429"/>
    <n v="71912601"/>
    <x v="1251"/>
  </r>
  <r>
    <s v="1991年度"/>
    <s v="05000"/>
    <x v="5"/>
    <n v="92307501"/>
    <n v="55117345"/>
    <n v="17161367"/>
    <n v="72278712"/>
    <x v="1252"/>
  </r>
  <r>
    <s v="1991年度"/>
    <s v="06000"/>
    <x v="6"/>
    <n v="104726733"/>
    <n v="55060866"/>
    <n v="17189357"/>
    <n v="72250223"/>
    <x v="1253"/>
  </r>
  <r>
    <s v="1991年度"/>
    <s v="07000"/>
    <x v="7"/>
    <n v="224954334"/>
    <n v="59646233"/>
    <n v="26308325"/>
    <n v="85954558"/>
    <x v="1254"/>
  </r>
  <r>
    <s v="1991年度"/>
    <s v="08000"/>
    <x v="8"/>
    <n v="350654732"/>
    <n v="47134988"/>
    <n v="25002352"/>
    <n v="72137340"/>
    <x v="1255"/>
  </r>
  <r>
    <s v="1991年度"/>
    <s v="09000"/>
    <x v="9"/>
    <n v="253985593"/>
    <n v="33396020"/>
    <n v="17025661"/>
    <n v="50421681"/>
    <x v="1256"/>
  </r>
  <r>
    <s v="1991年度"/>
    <n v="10000"/>
    <x v="10"/>
    <n v="242098256"/>
    <n v="42646600"/>
    <n v="20363089"/>
    <n v="63009689"/>
    <x v="1257"/>
  </r>
  <r>
    <s v="1991年度"/>
    <n v="11000"/>
    <x v="11"/>
    <n v="678918793"/>
    <n v="50211356"/>
    <n v="31940969"/>
    <n v="82152325"/>
    <x v="1258"/>
  </r>
  <r>
    <s v="1991年度"/>
    <n v="12000"/>
    <x v="12"/>
    <n v="625575302"/>
    <n v="54648286"/>
    <n v="35165289"/>
    <n v="89813575"/>
    <x v="1259"/>
  </r>
  <r>
    <s v="1991年度"/>
    <n v="13000"/>
    <x v="13"/>
    <n v="4849361416"/>
    <n v="102173922"/>
    <n v="56560037"/>
    <n v="158733959"/>
    <x v="1260"/>
  </r>
  <r>
    <s v="1991年度"/>
    <n v="14000"/>
    <x v="14"/>
    <n v="1093095541"/>
    <n v="33173211"/>
    <n v="26565146"/>
    <n v="59738357"/>
    <x v="1261"/>
  </r>
  <r>
    <s v="1991年度"/>
    <n v="15000"/>
    <x v="15"/>
    <n v="269173672"/>
    <n v="116746922"/>
    <n v="18707501"/>
    <n v="135454423"/>
    <x v="1262"/>
  </r>
  <r>
    <s v="1991年度"/>
    <n v="16000"/>
    <x v="16"/>
    <n v="141968505"/>
    <n v="41047166"/>
    <n v="14338640"/>
    <n v="55385806"/>
    <x v="1263"/>
  </r>
  <r>
    <s v="1991年度"/>
    <n v="17000"/>
    <x v="17"/>
    <n v="144276657"/>
    <n v="37526062"/>
    <n v="14731338"/>
    <n v="52257400"/>
    <x v="1264"/>
  </r>
  <r>
    <s v="1991年度"/>
    <n v="18000"/>
    <x v="18"/>
    <n v="111970247"/>
    <n v="35902275"/>
    <n v="15040299"/>
    <n v="50942574"/>
    <x v="1265"/>
  </r>
  <r>
    <s v="1991年度"/>
    <n v="19000"/>
    <x v="19"/>
    <n v="107061596"/>
    <n v="34821464"/>
    <n v="12227734"/>
    <n v="47049198"/>
    <x v="1266"/>
  </r>
  <r>
    <s v="1991年度"/>
    <n v="20000"/>
    <x v="20"/>
    <n v="256374012"/>
    <n v="63440457"/>
    <n v="25425034"/>
    <n v="88865491"/>
    <x v="1267"/>
  </r>
  <r>
    <s v="1991年度"/>
    <n v="21000"/>
    <x v="21"/>
    <n v="245394816"/>
    <n v="50691648"/>
    <n v="20359156"/>
    <n v="71050804"/>
    <x v="1268"/>
  </r>
  <r>
    <s v="1991年度"/>
    <n v="22000"/>
    <x v="22"/>
    <n v="525681216"/>
    <n v="60753981"/>
    <n v="22930251"/>
    <n v="83684232"/>
    <x v="1269"/>
  </r>
  <r>
    <s v="1991年度"/>
    <n v="23000"/>
    <x v="23"/>
    <n v="1146498036"/>
    <n v="58786101"/>
    <n v="35841229"/>
    <n v="94627330"/>
    <x v="1270"/>
  </r>
  <r>
    <s v="1991年度"/>
    <n v="24000"/>
    <x v="24"/>
    <n v="219073561"/>
    <n v="40570754"/>
    <n v="14715481"/>
    <n v="55286235"/>
    <x v="1271"/>
  </r>
  <r>
    <s v="1991年度"/>
    <n v="25000"/>
    <x v="25"/>
    <n v="158413507"/>
    <n v="32136240"/>
    <n v="13188931"/>
    <n v="45325171"/>
    <x v="1272"/>
  </r>
  <r>
    <s v="1991年度"/>
    <n v="26000"/>
    <x v="26"/>
    <n v="342765583"/>
    <n v="26549400"/>
    <n v="15094434"/>
    <n v="41643834"/>
    <x v="1273"/>
  </r>
  <r>
    <s v="1991年度"/>
    <n v="27000"/>
    <x v="27"/>
    <n v="1450833877"/>
    <n v="60179739"/>
    <n v="43026373"/>
    <n v="103206112"/>
    <x v="1274"/>
  </r>
  <r>
    <s v="1991年度"/>
    <n v="28000"/>
    <x v="28"/>
    <n v="665041641"/>
    <n v="71236906"/>
    <n v="34806360"/>
    <n v="106043266"/>
    <x v="1275"/>
  </r>
  <r>
    <s v="1991年度"/>
    <n v="29000"/>
    <x v="29"/>
    <n v="128141622"/>
    <n v="25512900"/>
    <n v="11911401"/>
    <n v="37424301"/>
    <x v="1276"/>
  </r>
  <r>
    <s v="1991年度"/>
    <n v="30000"/>
    <x v="30"/>
    <n v="104253487"/>
    <n v="32244170"/>
    <n v="13147302"/>
    <n v="45391472"/>
    <x v="1277"/>
  </r>
  <r>
    <s v="1991年度"/>
    <n v="31000"/>
    <x v="31"/>
    <n v="53108562"/>
    <n v="33471924"/>
    <n v="10906334"/>
    <n v="44378258"/>
    <x v="1278"/>
  </r>
  <r>
    <s v="1991年度"/>
    <n v="32000"/>
    <x v="32"/>
    <n v="65312780"/>
    <n v="55186674"/>
    <n v="14666351"/>
    <n v="69853025"/>
    <x v="1279"/>
  </r>
  <r>
    <s v="1991年度"/>
    <n v="33000"/>
    <x v="33"/>
    <n v="216898274"/>
    <n v="40202486"/>
    <n v="21288679"/>
    <n v="61491165"/>
    <x v="1280"/>
  </r>
  <r>
    <s v="1991年度"/>
    <n v="34000"/>
    <x v="34"/>
    <n v="330401449"/>
    <n v="55313661"/>
    <n v="41727682"/>
    <n v="97041343"/>
    <x v="1281"/>
  </r>
  <r>
    <s v="1991年度"/>
    <n v="35000"/>
    <x v="35"/>
    <n v="163280436"/>
    <n v="45319631"/>
    <n v="19290988"/>
    <n v="64610619"/>
    <x v="1282"/>
  </r>
  <r>
    <s v="1991年度"/>
    <n v="36000"/>
    <x v="36"/>
    <n v="74180390"/>
    <n v="38099622"/>
    <n v="11218462"/>
    <n v="49318084"/>
    <x v="1283"/>
  </r>
  <r>
    <s v="1991年度"/>
    <n v="37000"/>
    <x v="37"/>
    <n v="119804337"/>
    <n v="23039573"/>
    <n v="11503127"/>
    <n v="34542700"/>
    <x v="1284"/>
  </r>
  <r>
    <s v="1991年度"/>
    <n v="38000"/>
    <x v="38"/>
    <n v="134562541"/>
    <n v="51653754"/>
    <n v="15727972"/>
    <n v="67381726"/>
    <x v="1285"/>
  </r>
  <r>
    <s v="1991年度"/>
    <n v="39000"/>
    <x v="39"/>
    <n v="63557106"/>
    <n v="51330059"/>
    <n v="14598255"/>
    <n v="65928314"/>
    <x v="1286"/>
  </r>
  <r>
    <s v="1991年度"/>
    <n v="40000"/>
    <x v="40"/>
    <n v="481371108"/>
    <n v="53420322"/>
    <n v="39062579"/>
    <n v="92482901"/>
    <x v="1287"/>
  </r>
  <r>
    <s v="1991年度"/>
    <n v="41000"/>
    <x v="41"/>
    <n v="74403160"/>
    <n v="41179158"/>
    <n v="12104957"/>
    <n v="53284115"/>
    <x v="1288"/>
  </r>
  <r>
    <s v="1991年度"/>
    <n v="42000"/>
    <x v="42"/>
    <n v="108790591"/>
    <n v="76558256"/>
    <n v="29367308"/>
    <n v="105925564"/>
    <x v="1289"/>
  </r>
  <r>
    <s v="1991年度"/>
    <n v="43000"/>
    <x v="43"/>
    <n v="142497575"/>
    <n v="68448589"/>
    <n v="20688462"/>
    <n v="89137051"/>
    <x v="1290"/>
  </r>
  <r>
    <s v="1991年度"/>
    <n v="44000"/>
    <x v="44"/>
    <n v="108280684"/>
    <n v="56106952"/>
    <n v="16913844"/>
    <n v="73020796"/>
    <x v="1291"/>
  </r>
  <r>
    <s v="1991年度"/>
    <n v="45000"/>
    <x v="45"/>
    <n v="84160996"/>
    <n v="46049953"/>
    <n v="22987755"/>
    <n v="69037708"/>
    <x v="1292"/>
  </r>
  <r>
    <s v="1991年度"/>
    <n v="46000"/>
    <x v="46"/>
    <n v="124454763"/>
    <n v="96818862"/>
    <n v="28800531"/>
    <n v="125619393"/>
    <x v="1293"/>
  </r>
  <r>
    <s v="1991年度"/>
    <n v="47000"/>
    <x v="47"/>
    <n v="76241149"/>
    <n v="86239196"/>
    <n v="21566539"/>
    <n v="107805735"/>
    <x v="1294"/>
  </r>
  <r>
    <s v="1990年度"/>
    <s v="00000"/>
    <x v="0"/>
    <n v="17353166880"/>
    <n v="2476830777"/>
    <n v="1042126546"/>
    <n v="3518957323"/>
    <x v="1295"/>
  </r>
  <r>
    <s v="1990年度"/>
    <s v="01000"/>
    <x v="1"/>
    <n v="527461292"/>
    <n v="200767267"/>
    <n v="74539390"/>
    <n v="275306657"/>
    <x v="1296"/>
  </r>
  <r>
    <s v="1990年度"/>
    <s v="02000"/>
    <x v="2"/>
    <n v="95723904"/>
    <n v="56636107"/>
    <n v="18297782"/>
    <n v="74933889"/>
    <x v="1297"/>
  </r>
  <r>
    <s v="1990年度"/>
    <s v="03000"/>
    <x v="3"/>
    <n v="102304167"/>
    <n v="64456878"/>
    <n v="19107791"/>
    <n v="83564669"/>
    <x v="1298"/>
  </r>
  <r>
    <s v="1990年度"/>
    <s v="04000"/>
    <x v="4"/>
    <n v="225252060"/>
    <n v="51989529"/>
    <n v="19109552"/>
    <n v="71099081"/>
    <x v="1299"/>
  </r>
  <r>
    <s v="1990年度"/>
    <s v="05000"/>
    <x v="5"/>
    <n v="85438491"/>
    <n v="51450752"/>
    <n v="16731952"/>
    <n v="68182704"/>
    <x v="1300"/>
  </r>
  <r>
    <s v="1990年度"/>
    <s v="06000"/>
    <x v="6"/>
    <n v="95255222"/>
    <n v="56654017"/>
    <n v="16869149"/>
    <n v="73523166"/>
    <x v="1301"/>
  </r>
  <r>
    <s v="1990年度"/>
    <s v="07000"/>
    <x v="7"/>
    <n v="215283387"/>
    <n v="58758127"/>
    <n v="24394301"/>
    <n v="83152428"/>
    <x v="1302"/>
  </r>
  <r>
    <s v="1990年度"/>
    <s v="08000"/>
    <x v="8"/>
    <n v="329090853"/>
    <n v="43980153"/>
    <n v="25292095"/>
    <n v="69272248"/>
    <x v="1303"/>
  </r>
  <r>
    <s v="1990年度"/>
    <s v="09000"/>
    <x v="9"/>
    <n v="241666035"/>
    <n v="32755887"/>
    <n v="16279871"/>
    <n v="49035758"/>
    <x v="1304"/>
  </r>
  <r>
    <s v="1990年度"/>
    <n v="10000"/>
    <x v="10"/>
    <n v="224203500"/>
    <n v="40651295"/>
    <n v="19732552"/>
    <n v="60383847"/>
    <x v="1305"/>
  </r>
  <r>
    <s v="1990年度"/>
    <n v="11000"/>
    <x v="11"/>
    <n v="663318342"/>
    <n v="48315520"/>
    <n v="29955561"/>
    <n v="78271081"/>
    <x v="1306"/>
  </r>
  <r>
    <s v="1990年度"/>
    <n v="12000"/>
    <x v="12"/>
    <n v="595941689"/>
    <n v="54957661"/>
    <n v="33160399"/>
    <n v="88118060"/>
    <x v="1307"/>
  </r>
  <r>
    <s v="1990年度"/>
    <n v="13000"/>
    <x v="13"/>
    <n v="4716351915"/>
    <n v="91413770"/>
    <n v="60263172"/>
    <n v="151676942"/>
    <x v="1308"/>
  </r>
  <r>
    <s v="1990年度"/>
    <n v="14000"/>
    <x v="14"/>
    <n v="1091409182"/>
    <n v="30301828"/>
    <n v="25327605"/>
    <n v="55629433"/>
    <x v="1309"/>
  </r>
  <r>
    <s v="1990年度"/>
    <n v="15000"/>
    <x v="15"/>
    <n v="244891176"/>
    <n v="108306485"/>
    <n v="18497729"/>
    <n v="126804214"/>
    <x v="1310"/>
  </r>
  <r>
    <s v="1990年度"/>
    <n v="16000"/>
    <x v="16"/>
    <n v="133278608"/>
    <n v="38993379"/>
    <n v="14409497"/>
    <n v="53402876"/>
    <x v="1311"/>
  </r>
  <r>
    <s v="1990年度"/>
    <n v="17000"/>
    <x v="17"/>
    <n v="132541811"/>
    <n v="35721768"/>
    <n v="13721855"/>
    <n v="49443623"/>
    <x v="1312"/>
  </r>
  <r>
    <s v="1990年度"/>
    <n v="18000"/>
    <x v="18"/>
    <n v="103184253"/>
    <n v="35602589"/>
    <n v="13057241"/>
    <n v="48659830"/>
    <x v="1313"/>
  </r>
  <r>
    <s v="1990年度"/>
    <n v="19000"/>
    <x v="19"/>
    <n v="102578687"/>
    <n v="30385009"/>
    <n v="12701383"/>
    <n v="43086392"/>
    <x v="1314"/>
  </r>
  <r>
    <s v="1990年度"/>
    <n v="20000"/>
    <x v="20"/>
    <n v="234207139"/>
    <n v="60555410"/>
    <n v="22934076"/>
    <n v="83489486"/>
    <x v="1315"/>
  </r>
  <r>
    <s v="1990年度"/>
    <n v="21000"/>
    <x v="21"/>
    <n v="228471962"/>
    <n v="49957490"/>
    <n v="19220277"/>
    <n v="69177767"/>
    <x v="1316"/>
  </r>
  <r>
    <s v="1990年度"/>
    <n v="22000"/>
    <x v="22"/>
    <n v="502626251"/>
    <n v="54039377"/>
    <n v="22472385"/>
    <n v="76511762"/>
    <x v="1317"/>
  </r>
  <r>
    <s v="1990年度"/>
    <n v="23000"/>
    <x v="23"/>
    <n v="1166809266"/>
    <n v="60677280"/>
    <n v="34042025"/>
    <n v="94719305"/>
    <x v="1318"/>
  </r>
  <r>
    <s v="1990年度"/>
    <n v="24000"/>
    <x v="24"/>
    <n v="208795878"/>
    <n v="37316325"/>
    <n v="14340680"/>
    <n v="51657005"/>
    <x v="1319"/>
  </r>
  <r>
    <s v="1990年度"/>
    <n v="25000"/>
    <x v="25"/>
    <n v="155481428"/>
    <n v="28332523"/>
    <n v="11164704"/>
    <n v="39497227"/>
    <x v="1320"/>
  </r>
  <r>
    <s v="1990年度"/>
    <n v="26000"/>
    <x v="26"/>
    <n v="328955789"/>
    <n v="25524706"/>
    <n v="14422851"/>
    <n v="39947557"/>
    <x v="1321"/>
  </r>
  <r>
    <s v="1990年度"/>
    <n v="27000"/>
    <x v="27"/>
    <n v="1473123158"/>
    <n v="59118452"/>
    <n v="40438998"/>
    <n v="99557450"/>
    <x v="1322"/>
  </r>
  <r>
    <s v="1990年度"/>
    <n v="28000"/>
    <x v="28"/>
    <n v="640416021"/>
    <n v="62975998"/>
    <n v="34212984"/>
    <n v="97188982"/>
    <x v="1323"/>
  </r>
  <r>
    <s v="1990年度"/>
    <n v="29000"/>
    <x v="29"/>
    <n v="124630608"/>
    <n v="23237261"/>
    <n v="11143398"/>
    <n v="34380659"/>
    <x v="1324"/>
  </r>
  <r>
    <s v="1990年度"/>
    <n v="30000"/>
    <x v="30"/>
    <n v="103389077"/>
    <n v="31721919"/>
    <n v="13139224"/>
    <n v="44861143"/>
    <x v="1325"/>
  </r>
  <r>
    <s v="1990年度"/>
    <n v="31000"/>
    <x v="31"/>
    <n v="48121396"/>
    <n v="32195194"/>
    <n v="10415936"/>
    <n v="42611130"/>
    <x v="1326"/>
  </r>
  <r>
    <s v="1990年度"/>
    <n v="32000"/>
    <x v="32"/>
    <n v="59441031"/>
    <n v="52810253"/>
    <n v="13711589"/>
    <n v="66521842"/>
    <x v="1327"/>
  </r>
  <r>
    <s v="1990年度"/>
    <n v="33000"/>
    <x v="33"/>
    <n v="201345217"/>
    <n v="35528555"/>
    <n v="20558672"/>
    <n v="56087227"/>
    <x v="1328"/>
  </r>
  <r>
    <s v="1990年度"/>
    <n v="34000"/>
    <x v="34"/>
    <n v="313855640"/>
    <n v="50968568"/>
    <n v="40102504"/>
    <n v="91071072"/>
    <x v="1329"/>
  </r>
  <r>
    <s v="1990年度"/>
    <n v="35000"/>
    <x v="35"/>
    <n v="152758931"/>
    <n v="44127371"/>
    <n v="19030637"/>
    <n v="63158008"/>
    <x v="1330"/>
  </r>
  <r>
    <s v="1990年度"/>
    <n v="36000"/>
    <x v="36"/>
    <n v="69112909"/>
    <n v="36853469"/>
    <n v="11590535"/>
    <n v="48444004"/>
    <x v="1331"/>
  </r>
  <r>
    <s v="1990年度"/>
    <n v="37000"/>
    <x v="37"/>
    <n v="110333245"/>
    <n v="21425361"/>
    <n v="11051528"/>
    <n v="32476889"/>
    <x v="1332"/>
  </r>
  <r>
    <s v="1990年度"/>
    <n v="38000"/>
    <x v="38"/>
    <n v="125783020"/>
    <n v="46094280"/>
    <n v="14878223"/>
    <n v="60972503"/>
    <x v="1333"/>
  </r>
  <r>
    <s v="1990年度"/>
    <n v="39000"/>
    <x v="39"/>
    <n v="58106137"/>
    <n v="50090908"/>
    <n v="14195680"/>
    <n v="64286588"/>
    <x v="1334"/>
  </r>
  <r>
    <s v="1990年度"/>
    <n v="40000"/>
    <x v="40"/>
    <n v="458759575"/>
    <n v="46925390"/>
    <n v="37203738"/>
    <n v="84129128"/>
    <x v="1335"/>
  </r>
  <r>
    <s v="1990年度"/>
    <n v="41000"/>
    <x v="41"/>
    <n v="67800329"/>
    <n v="38725495"/>
    <n v="11569563"/>
    <n v="50295058"/>
    <x v="1336"/>
  </r>
  <r>
    <s v="1990年度"/>
    <n v="42000"/>
    <x v="42"/>
    <n v="100680223"/>
    <n v="66270098"/>
    <n v="24549792"/>
    <n v="90819890"/>
    <x v="1337"/>
  </r>
  <r>
    <s v="1990年度"/>
    <n v="43000"/>
    <x v="43"/>
    <n v="132900270"/>
    <n v="62292930"/>
    <n v="18851189"/>
    <n v="81144119"/>
    <x v="1338"/>
  </r>
  <r>
    <s v="1990年度"/>
    <n v="44000"/>
    <x v="44"/>
    <n v="94905669"/>
    <n v="51657917"/>
    <n v="16830674"/>
    <n v="68488591"/>
    <x v="1339"/>
  </r>
  <r>
    <s v="1990年度"/>
    <n v="45000"/>
    <x v="45"/>
    <n v="79051018"/>
    <n v="46445983"/>
    <n v="17889064"/>
    <n v="64335047"/>
    <x v="1340"/>
  </r>
  <r>
    <s v="1990年度"/>
    <n v="46000"/>
    <x v="46"/>
    <n v="118362928"/>
    <n v="92400425"/>
    <n v="29494789"/>
    <n v="121895214"/>
    <x v="1341"/>
  </r>
  <r>
    <s v="1990年度"/>
    <n v="47000"/>
    <x v="47"/>
    <n v="69768191"/>
    <n v="76463818"/>
    <n v="21221954"/>
    <n v="97685772"/>
    <x v="1342"/>
  </r>
  <r>
    <s v="1989年度"/>
    <s v="00000"/>
    <x v="0"/>
    <n v="16482170918"/>
    <n v="2457271423"/>
    <n v="1007701977"/>
    <n v="3464973400"/>
    <x v="1343"/>
  </r>
  <r>
    <s v="1989年度"/>
    <s v="01000"/>
    <x v="1"/>
    <n v="494654130"/>
    <n v="204102758"/>
    <n v="69548118"/>
    <n v="273650876"/>
    <x v="1344"/>
  </r>
  <r>
    <s v="1989年度"/>
    <s v="02000"/>
    <x v="2"/>
    <n v="89634848"/>
    <n v="57909580"/>
    <n v="16935164"/>
    <n v="74844744"/>
    <x v="1345"/>
  </r>
  <r>
    <s v="1989年度"/>
    <s v="03000"/>
    <x v="3"/>
    <n v="93757822"/>
    <n v="65358258"/>
    <n v="18239841"/>
    <n v="83598099"/>
    <x v="1346"/>
  </r>
  <r>
    <s v="1989年度"/>
    <s v="04000"/>
    <x v="4"/>
    <n v="214634706"/>
    <n v="50163863"/>
    <n v="18012619"/>
    <n v="68176482"/>
    <x v="1347"/>
  </r>
  <r>
    <s v="1989年度"/>
    <s v="05000"/>
    <x v="5"/>
    <n v="79037659"/>
    <n v="50112510"/>
    <n v="20150728"/>
    <n v="70263238"/>
    <x v="1348"/>
  </r>
  <r>
    <s v="1989年度"/>
    <s v="06000"/>
    <x v="6"/>
    <n v="89108211"/>
    <n v="59891241"/>
    <n v="16340258"/>
    <n v="76231499"/>
    <x v="1349"/>
  </r>
  <r>
    <s v="1989年度"/>
    <s v="07000"/>
    <x v="7"/>
    <n v="195834000"/>
    <n v="62690391"/>
    <n v="24095331"/>
    <n v="86785722"/>
    <x v="1350"/>
  </r>
  <r>
    <s v="1989年度"/>
    <s v="08000"/>
    <x v="8"/>
    <n v="291906817"/>
    <n v="45296221"/>
    <n v="23577971"/>
    <n v="68874192"/>
    <x v="1351"/>
  </r>
  <r>
    <s v="1989年度"/>
    <s v="09000"/>
    <x v="9"/>
    <n v="215548978"/>
    <n v="32431054"/>
    <n v="16402197"/>
    <n v="48833251"/>
    <x v="1352"/>
  </r>
  <r>
    <s v="1989年度"/>
    <n v="10000"/>
    <x v="10"/>
    <n v="204871012"/>
    <n v="37736605"/>
    <n v="20124149"/>
    <n v="57860754"/>
    <x v="1353"/>
  </r>
  <r>
    <s v="1989年度"/>
    <n v="11000"/>
    <x v="11"/>
    <n v="603909103"/>
    <n v="44895751"/>
    <n v="27743072"/>
    <n v="72638823"/>
    <x v="1354"/>
  </r>
  <r>
    <s v="1989年度"/>
    <n v="12000"/>
    <x v="12"/>
    <n v="543825806"/>
    <n v="48841328"/>
    <n v="32190090"/>
    <n v="81031418"/>
    <x v="1355"/>
  </r>
  <r>
    <s v="1989年度"/>
    <n v="13000"/>
    <x v="13"/>
    <n v="4774317841"/>
    <n v="95146089"/>
    <n v="60899073"/>
    <n v="156045162"/>
    <x v="1356"/>
  </r>
  <r>
    <s v="1989年度"/>
    <n v="14000"/>
    <x v="14"/>
    <n v="1021957744"/>
    <n v="27730304"/>
    <n v="24071020"/>
    <n v="51801324"/>
    <x v="1357"/>
  </r>
  <r>
    <s v="1989年度"/>
    <n v="15000"/>
    <x v="15"/>
    <n v="227851755"/>
    <n v="99612169"/>
    <n v="26465887"/>
    <n v="126078056"/>
    <x v="1358"/>
  </r>
  <r>
    <s v="1989年度"/>
    <n v="16000"/>
    <x v="16"/>
    <n v="123926202"/>
    <n v="40905335"/>
    <n v="12249605"/>
    <n v="53154940"/>
    <x v="1359"/>
  </r>
  <r>
    <s v="1989年度"/>
    <n v="17000"/>
    <x v="17"/>
    <n v="118746455"/>
    <n v="36645944"/>
    <n v="13076297"/>
    <n v="49722241"/>
    <x v="1360"/>
  </r>
  <r>
    <s v="1989年度"/>
    <n v="18000"/>
    <x v="18"/>
    <n v="99932559"/>
    <n v="33864416"/>
    <n v="10141845"/>
    <n v="44006261"/>
    <x v="1361"/>
  </r>
  <r>
    <s v="1989年度"/>
    <n v="19000"/>
    <x v="19"/>
    <n v="88461974"/>
    <n v="29657787"/>
    <n v="12723502"/>
    <n v="42381289"/>
    <x v="1362"/>
  </r>
  <r>
    <s v="1989年度"/>
    <n v="20000"/>
    <x v="20"/>
    <n v="218166193"/>
    <n v="63017565"/>
    <n v="22945516"/>
    <n v="85963081"/>
    <x v="1363"/>
  </r>
  <r>
    <s v="1989年度"/>
    <n v="21000"/>
    <x v="21"/>
    <n v="212155549"/>
    <n v="49127889"/>
    <n v="18619588"/>
    <n v="67747477"/>
    <x v="1364"/>
  </r>
  <r>
    <s v="1989年度"/>
    <n v="22000"/>
    <x v="22"/>
    <n v="450556782"/>
    <n v="54322814"/>
    <n v="21075930"/>
    <n v="75398744"/>
    <x v="1365"/>
  </r>
  <r>
    <s v="1989年度"/>
    <n v="23000"/>
    <x v="23"/>
    <n v="1062228726"/>
    <n v="61029249"/>
    <n v="31832069"/>
    <n v="92861318"/>
    <x v="1366"/>
  </r>
  <r>
    <s v="1989年度"/>
    <n v="24000"/>
    <x v="24"/>
    <n v="197151232"/>
    <n v="39118073"/>
    <n v="13756575"/>
    <n v="52874648"/>
    <x v="1367"/>
  </r>
  <r>
    <s v="1989年度"/>
    <n v="25000"/>
    <x v="25"/>
    <n v="137837592"/>
    <n v="27155964"/>
    <n v="10394887"/>
    <n v="37550851"/>
    <x v="1368"/>
  </r>
  <r>
    <s v="1989年度"/>
    <n v="26000"/>
    <x v="26"/>
    <n v="303508191"/>
    <n v="24730111"/>
    <n v="13793887"/>
    <n v="38523998"/>
    <x v="1369"/>
  </r>
  <r>
    <s v="1989年度"/>
    <n v="27000"/>
    <x v="27"/>
    <n v="1407530327"/>
    <n v="57593131"/>
    <n v="37105678"/>
    <n v="94698809"/>
    <x v="1370"/>
  </r>
  <r>
    <s v="1989年度"/>
    <n v="28000"/>
    <x v="28"/>
    <n v="599837785"/>
    <n v="58953417"/>
    <n v="32431295"/>
    <n v="91384712"/>
    <x v="1371"/>
  </r>
  <r>
    <s v="1989年度"/>
    <n v="29000"/>
    <x v="29"/>
    <n v="109731803"/>
    <n v="23679494"/>
    <n v="10857790"/>
    <n v="34537284"/>
    <x v="1372"/>
  </r>
  <r>
    <s v="1989年度"/>
    <n v="30000"/>
    <x v="30"/>
    <n v="92220069"/>
    <n v="30810665"/>
    <n v="12452742"/>
    <n v="43263407"/>
    <x v="1373"/>
  </r>
  <r>
    <s v="1989年度"/>
    <n v="31000"/>
    <x v="31"/>
    <n v="45792323"/>
    <n v="35158300"/>
    <n v="9436980"/>
    <n v="44595280"/>
    <x v="1374"/>
  </r>
  <r>
    <s v="1989年度"/>
    <n v="32000"/>
    <x v="32"/>
    <n v="58280102"/>
    <n v="56584814"/>
    <n v="12677863"/>
    <n v="69262677"/>
    <x v="1375"/>
  </r>
  <r>
    <s v="1989年度"/>
    <n v="33000"/>
    <x v="33"/>
    <n v="186954937"/>
    <n v="36766990"/>
    <n v="20471779"/>
    <n v="57238769"/>
    <x v="1376"/>
  </r>
  <r>
    <s v="1989年度"/>
    <n v="34000"/>
    <x v="34"/>
    <n v="294830246"/>
    <n v="51647675"/>
    <n v="38198406"/>
    <n v="89846081"/>
    <x v="1377"/>
  </r>
  <r>
    <s v="1989年度"/>
    <n v="35000"/>
    <x v="35"/>
    <n v="149055301"/>
    <n v="40452371"/>
    <n v="18288092"/>
    <n v="58740463"/>
    <x v="1378"/>
  </r>
  <r>
    <s v="1989年度"/>
    <n v="36000"/>
    <x v="36"/>
    <n v="65107203"/>
    <n v="36789799"/>
    <n v="11149707"/>
    <n v="47939506"/>
    <x v="1379"/>
  </r>
  <r>
    <s v="1989年度"/>
    <n v="37000"/>
    <x v="37"/>
    <n v="104002452"/>
    <n v="21903523"/>
    <n v="10395571"/>
    <n v="32299094"/>
    <x v="1380"/>
  </r>
  <r>
    <s v="1989年度"/>
    <n v="38000"/>
    <x v="38"/>
    <n v="116267728"/>
    <n v="40717685"/>
    <n v="14439052"/>
    <n v="55156737"/>
    <x v="1381"/>
  </r>
  <r>
    <s v="1989年度"/>
    <n v="39000"/>
    <x v="39"/>
    <n v="53641805"/>
    <n v="49474080"/>
    <n v="13240701"/>
    <n v="62714781"/>
    <x v="1382"/>
  </r>
  <r>
    <s v="1989年度"/>
    <n v="40000"/>
    <x v="40"/>
    <n v="430508550"/>
    <n v="46929113"/>
    <n v="34225712"/>
    <n v="81154825"/>
    <x v="1383"/>
  </r>
  <r>
    <s v="1989年度"/>
    <n v="41000"/>
    <x v="41"/>
    <n v="63711579"/>
    <n v="39378683"/>
    <n v="10193684"/>
    <n v="49572367"/>
    <x v="1384"/>
  </r>
  <r>
    <s v="1989年度"/>
    <n v="42000"/>
    <x v="42"/>
    <n v="92041938"/>
    <n v="63918885"/>
    <n v="23562760"/>
    <n v="87481645"/>
    <x v="1385"/>
  </r>
  <r>
    <s v="1989年度"/>
    <n v="43000"/>
    <x v="43"/>
    <n v="121574783"/>
    <n v="61323005"/>
    <n v="18598321"/>
    <n v="79921326"/>
    <x v="1386"/>
  </r>
  <r>
    <s v="1989年度"/>
    <n v="44000"/>
    <x v="44"/>
    <n v="86028292"/>
    <n v="49818064"/>
    <n v="15599557"/>
    <n v="65417621"/>
    <x v="1387"/>
  </r>
  <r>
    <s v="1989年度"/>
    <n v="45000"/>
    <x v="45"/>
    <n v="73264060"/>
    <n v="47461654"/>
    <n v="18525144"/>
    <n v="65986798"/>
    <x v="1388"/>
  </r>
  <r>
    <s v="1989年度"/>
    <n v="46000"/>
    <x v="46"/>
    <n v="112745641"/>
    <n v="89898921"/>
    <n v="29744617"/>
    <n v="119643538"/>
    <x v="1389"/>
  </r>
  <r>
    <s v="1989年度"/>
    <n v="47000"/>
    <x v="47"/>
    <n v="65522107"/>
    <n v="76517885"/>
    <n v="20701307"/>
    <n v="97219192"/>
    <x v="1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875BF-266C-4DA8-AF78-644984C2AC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0" firstDataRow="1" firstDataCol="1"/>
  <pivotFields count="8">
    <pivotField showAll="0"/>
    <pivotField showAll="0"/>
    <pivotField axis="axisRow" showAll="0" sortType="descending">
      <items count="49">
        <item x="24"/>
        <item x="26"/>
        <item x="41"/>
        <item x="0"/>
        <item x="28"/>
        <item x="1"/>
        <item x="12"/>
        <item x="30"/>
        <item x="11"/>
        <item x="44"/>
        <item x="27"/>
        <item x="29"/>
        <item x="4"/>
        <item x="45"/>
        <item x="16"/>
        <item x="35"/>
        <item x="6"/>
        <item x="19"/>
        <item x="21"/>
        <item x="33"/>
        <item x="3"/>
        <item x="32"/>
        <item x="34"/>
        <item x="36"/>
        <item x="38"/>
        <item x="23"/>
        <item x="15"/>
        <item x="13"/>
        <item x="9"/>
        <item x="47"/>
        <item x="25"/>
        <item x="43"/>
        <item x="17"/>
        <item x="14"/>
        <item x="18"/>
        <item x="40"/>
        <item x="7"/>
        <item x="5"/>
        <item x="10"/>
        <item x="8"/>
        <item x="42"/>
        <item x="20"/>
        <item x="2"/>
        <item x="22"/>
        <item x="37"/>
        <item x="39"/>
        <item x="31"/>
        <item x="46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numFmtId="3" showAll="0"/>
    <pivotField dataField="1" numFmtId="3" showAll="0"/>
    <pivotField dataField="1" numFmtId="3" showAll="0"/>
    <pivotField dataField="1" numFmtId="3" showAll="0"/>
    <pivotField dataField="1" showAll="0">
      <items count="1392">
        <item x="492"/>
        <item x="61"/>
        <item x="62"/>
        <item x="252"/>
        <item x="108"/>
        <item x="204"/>
        <item x="205"/>
        <item x="109"/>
        <item x="156"/>
        <item x="13"/>
        <item x="14"/>
        <item x="300"/>
        <item x="1308"/>
        <item x="1356"/>
        <item x="1260"/>
        <item x="444"/>
        <item x="166"/>
        <item x="493"/>
        <item x="71"/>
        <item x="118"/>
        <item x="253"/>
        <item x="106"/>
        <item x="59"/>
        <item x="348"/>
        <item x="540"/>
        <item x="27"/>
        <item x="1212"/>
        <item x="202"/>
        <item x="262"/>
        <item x="23"/>
        <item x="11"/>
        <item x="122"/>
        <item x="157"/>
        <item x="349"/>
        <item x="301"/>
        <item x="250"/>
        <item x="502"/>
        <item x="490"/>
        <item x="588"/>
        <item x="214"/>
        <item x="1357"/>
        <item x="1309"/>
        <item x="170"/>
        <item x="636"/>
        <item x="154"/>
        <item x="1261"/>
        <item x="1116"/>
        <item x="506"/>
        <item x="218"/>
        <item x="310"/>
        <item x="75"/>
        <item x="828"/>
        <item x="732"/>
        <item x="298"/>
        <item x="541"/>
        <item x="972"/>
        <item x="780"/>
        <item x="445"/>
        <item x="314"/>
        <item x="1020"/>
        <item x="1164"/>
        <item x="589"/>
        <item x="266"/>
        <item x="117"/>
        <item x="103"/>
        <item x="684"/>
        <item x="22"/>
        <item x="1370"/>
        <item x="1322"/>
        <item x="637"/>
        <item x="8"/>
        <item x="70"/>
        <item x="1274"/>
        <item x="76"/>
        <item x="442"/>
        <item x="1068"/>
        <item x="56"/>
        <item x="454"/>
        <item x="165"/>
        <item x="121"/>
        <item x="171"/>
        <item x="550"/>
        <item x="358"/>
        <item x="28"/>
        <item x="1213"/>
        <item x="876"/>
        <item x="151"/>
        <item x="123"/>
        <item x="60"/>
        <item x="491"/>
        <item x="458"/>
        <item x="261"/>
        <item x="538"/>
        <item x="107"/>
        <item x="1318"/>
        <item x="924"/>
        <item x="58"/>
        <item x="1270"/>
        <item x="12"/>
        <item x="685"/>
        <item x="501"/>
        <item x="119"/>
        <item x="396"/>
        <item x="346"/>
        <item x="489"/>
        <item x="120"/>
        <item x="10"/>
        <item x="1366"/>
        <item x="554"/>
        <item x="586"/>
        <item x="505"/>
        <item x="82"/>
        <item x="9"/>
        <item x="25"/>
        <item x="598"/>
        <item x="362"/>
        <item x="57"/>
        <item x="104"/>
        <item x="213"/>
        <item x="487"/>
        <item x="155"/>
        <item x="73"/>
        <item x="153"/>
        <item x="199"/>
        <item x="1165"/>
        <item x="81"/>
        <item x="249"/>
        <item x="88"/>
        <item x="267"/>
        <item x="26"/>
        <item x="129"/>
        <item x="973"/>
        <item x="34"/>
        <item x="128"/>
        <item x="1021"/>
        <item x="733"/>
        <item x="167"/>
        <item x="1117"/>
        <item x="279"/>
        <item x="33"/>
        <item x="602"/>
        <item x="72"/>
        <item x="135"/>
        <item x="634"/>
        <item x="309"/>
        <item x="203"/>
        <item x="40"/>
        <item x="74"/>
        <item x="168"/>
        <item x="105"/>
        <item x="327"/>
        <item x="504"/>
        <item x="1069"/>
        <item x="829"/>
        <item x="177"/>
        <item x="217"/>
        <item x="20"/>
        <item x="539"/>
        <item x="443"/>
        <item x="264"/>
        <item x="152"/>
        <item x="183"/>
        <item x="646"/>
        <item x="68"/>
        <item x="247"/>
        <item x="115"/>
        <item x="519"/>
        <item x="1226"/>
        <item x="251"/>
        <item x="176"/>
        <item x="453"/>
        <item x="24"/>
        <item x="507"/>
        <item x="219"/>
        <item x="479"/>
        <item x="503"/>
        <item x="457"/>
        <item x="0"/>
        <item x="488"/>
        <item x="65"/>
        <item x="216"/>
        <item x="650"/>
        <item x="1306"/>
        <item x="263"/>
        <item x="781"/>
        <item x="201"/>
        <item x="925"/>
        <item x="483"/>
        <item x="347"/>
        <item x="112"/>
        <item x="1354"/>
        <item x="200"/>
        <item x="698"/>
        <item x="1258"/>
        <item x="272"/>
        <item x="1321"/>
        <item x="1273"/>
        <item x="694"/>
        <item x="1222"/>
        <item x="231"/>
        <item x="587"/>
        <item x="132"/>
        <item x="315"/>
        <item x="169"/>
        <item x="682"/>
        <item x="164"/>
        <item x="313"/>
        <item x="48"/>
        <item x="439"/>
        <item x="553"/>
        <item x="1369"/>
        <item x="982"/>
        <item x="21"/>
        <item x="742"/>
        <item x="265"/>
        <item x="116"/>
        <item x="516"/>
        <item x="86"/>
        <item x="500"/>
        <item x="877"/>
        <item x="1130"/>
        <item x="549"/>
        <item x="297"/>
        <item x="69"/>
        <item x="248"/>
        <item x="276"/>
        <item x="85"/>
        <item x="143"/>
        <item x="512"/>
        <item x="273"/>
        <item x="299"/>
        <item x="37"/>
        <item x="260"/>
        <item x="838"/>
        <item x="601"/>
        <item x="215"/>
        <item x="133"/>
        <item x="320"/>
        <item x="181"/>
        <item x="111"/>
        <item x="312"/>
        <item x="163"/>
        <item x="537"/>
        <item x="459"/>
        <item x="471"/>
        <item x="1178"/>
        <item x="986"/>
        <item x="239"/>
        <item x="1259"/>
        <item x="38"/>
        <item x="790"/>
        <item x="535"/>
        <item x="268"/>
        <item x="842"/>
        <item x="730"/>
        <item x="1030"/>
        <item x="397"/>
        <item x="635"/>
        <item x="1034"/>
        <item x="1307"/>
        <item x="343"/>
        <item x="746"/>
        <item x="1355"/>
        <item x="441"/>
        <item x="159"/>
        <item x="277"/>
        <item x="67"/>
        <item x="180"/>
        <item x="431"/>
        <item x="508"/>
        <item x="1323"/>
        <item x="17"/>
        <item x="597"/>
        <item x="1317"/>
        <item x="224"/>
        <item x="1371"/>
        <item x="486"/>
        <item x="225"/>
        <item x="1174"/>
        <item x="1126"/>
        <item x="886"/>
        <item x="440"/>
        <item x="934"/>
        <item x="191"/>
        <item x="1210"/>
        <item x="29"/>
        <item x="77"/>
        <item x="513"/>
        <item x="160"/>
        <item x="357"/>
        <item x="258"/>
        <item x="567"/>
        <item x="1269"/>
        <item x="938"/>
        <item x="1275"/>
        <item x="64"/>
        <item x="311"/>
        <item x="1078"/>
        <item x="455"/>
        <item x="375"/>
        <item x="321"/>
        <item x="464"/>
        <item x="826"/>
        <item x="124"/>
        <item x="19"/>
        <item x="114"/>
        <item x="649"/>
        <item x="1365"/>
        <item x="794"/>
        <item x="220"/>
        <item x="324"/>
        <item x="1082"/>
        <item x="499"/>
        <item x="890"/>
        <item x="256"/>
        <item x="274"/>
        <item x="361"/>
        <item x="83"/>
        <item x="172"/>
        <item x="527"/>
        <item x="296"/>
        <item x="552"/>
        <item x="35"/>
        <item x="531"/>
        <item x="16"/>
        <item x="496"/>
        <item x="1225"/>
        <item x="778"/>
        <item x="257"/>
        <item x="645"/>
        <item x="456"/>
        <item x="259"/>
        <item x="130"/>
        <item x="335"/>
        <item x="468"/>
        <item x="308"/>
        <item x="211"/>
        <item x="683"/>
        <item x="228"/>
        <item x="465"/>
        <item x="551"/>
        <item x="363"/>
        <item x="697"/>
        <item x="970"/>
        <item x="66"/>
        <item x="536"/>
        <item x="583"/>
        <item x="555"/>
        <item x="435"/>
        <item x="1335"/>
        <item x="18"/>
        <item x="84"/>
        <item x="1211"/>
        <item x="585"/>
        <item x="178"/>
        <item x="255"/>
        <item x="745"/>
        <item x="452"/>
        <item x="1162"/>
        <item x="1383"/>
        <item x="110"/>
        <item x="344"/>
        <item x="394"/>
        <item x="615"/>
        <item x="1287"/>
        <item x="406"/>
        <item x="579"/>
        <item x="793"/>
        <item x="495"/>
        <item x="1018"/>
        <item x="136"/>
        <item x="125"/>
        <item x="36"/>
        <item x="827"/>
        <item x="485"/>
        <item x="131"/>
        <item x="113"/>
        <item x="149"/>
        <item x="922"/>
        <item x="97"/>
        <item x="841"/>
        <item x="985"/>
        <item x="345"/>
        <item x="101"/>
        <item x="1256"/>
        <item x="63"/>
        <item x="1114"/>
        <item x="731"/>
        <item x="564"/>
        <item x="212"/>
        <item x="339"/>
        <item x="1295"/>
        <item x="1066"/>
        <item x="1304"/>
        <item x="4"/>
        <item x="599"/>
        <item x="359"/>
        <item x="517"/>
        <item x="360"/>
        <item x="161"/>
        <item x="575"/>
        <item x="229"/>
        <item x="631"/>
        <item x="693"/>
        <item x="1255"/>
        <item x="52"/>
        <item x="1247"/>
        <item x="1129"/>
        <item x="663"/>
        <item x="316"/>
        <item x="603"/>
        <item x="78"/>
        <item x="874"/>
        <item x="1343"/>
        <item x="1303"/>
        <item x="208"/>
        <item x="1163"/>
        <item x="89"/>
        <item x="548"/>
        <item x="162"/>
        <item x="15"/>
        <item x="981"/>
        <item x="302"/>
        <item x="322"/>
        <item x="207"/>
        <item x="560"/>
        <item x="369"/>
        <item x="647"/>
        <item x="96"/>
        <item x="971"/>
        <item x="627"/>
        <item x="368"/>
        <item x="923"/>
        <item x="1221"/>
        <item x="741"/>
        <item x="226"/>
        <item x="50"/>
        <item x="779"/>
        <item x="1033"/>
        <item x="1177"/>
        <item x="837"/>
        <item x="245"/>
        <item x="547"/>
        <item x="438"/>
        <item x="2"/>
        <item x="600"/>
        <item x="254"/>
        <item x="561"/>
        <item x="1352"/>
        <item x="303"/>
        <item x="937"/>
        <item x="144"/>
        <item x="633"/>
        <item x="711"/>
        <item x="307"/>
        <item x="325"/>
        <item x="1115"/>
        <item x="139"/>
        <item x="54"/>
        <item x="49"/>
        <item x="395"/>
        <item x="451"/>
        <item x="184"/>
        <item x="304"/>
        <item x="623"/>
        <item x="875"/>
        <item x="41"/>
        <item x="460"/>
        <item x="179"/>
        <item x="584"/>
        <item x="1351"/>
        <item x="608"/>
        <item x="1019"/>
        <item x="651"/>
        <item x="410"/>
        <item x="30"/>
        <item x="1067"/>
        <item x="99"/>
        <item x="1227"/>
        <item x="612"/>
        <item x="675"/>
        <item x="1029"/>
        <item x="789"/>
        <item x="158"/>
        <item x="889"/>
        <item x="87"/>
        <item x="1081"/>
        <item x="679"/>
        <item x="596"/>
        <item x="6"/>
        <item x="448"/>
        <item x="287"/>
        <item x="44"/>
        <item x="356"/>
        <item x="364"/>
        <item x="1319"/>
        <item x="372"/>
        <item x="447"/>
        <item x="209"/>
        <item x="1173"/>
        <item x="1271"/>
        <item x="534"/>
        <item x="1320"/>
        <item x="632"/>
        <item x="269"/>
        <item x="295"/>
        <item x="1"/>
        <item x="1125"/>
        <item x="999"/>
        <item x="514"/>
        <item x="660"/>
        <item x="1257"/>
        <item x="759"/>
        <item x="723"/>
        <item x="197"/>
        <item x="885"/>
        <item x="355"/>
        <item x="469"/>
        <item x="145"/>
        <item x="126"/>
        <item x="1239"/>
        <item x="240"/>
        <item x="173"/>
        <item x="280"/>
        <item x="92"/>
        <item x="727"/>
        <item x="1077"/>
        <item x="148"/>
        <item x="595"/>
        <item x="100"/>
        <item x="98"/>
        <item x="283"/>
        <item x="544"/>
        <item x="933"/>
        <item x="305"/>
        <item x="138"/>
        <item x="1367"/>
        <item x="1305"/>
        <item x="609"/>
        <item x="192"/>
        <item x="437"/>
        <item x="39"/>
        <item x="1368"/>
        <item x="275"/>
        <item x="951"/>
        <item x="648"/>
        <item x="241"/>
        <item x="1179"/>
        <item x="1324"/>
        <item x="482"/>
        <item x="1328"/>
        <item x="671"/>
        <item x="743"/>
        <item x="855"/>
        <item x="695"/>
        <item x="147"/>
        <item x="79"/>
        <item x="1047"/>
        <item x="1353"/>
        <item x="1280"/>
        <item x="288"/>
        <item x="699"/>
        <item x="556"/>
        <item x="140"/>
        <item x="747"/>
        <item x="182"/>
        <item x="1272"/>
        <item x="206"/>
        <item x="681"/>
        <item x="1251"/>
        <item x="1284"/>
        <item x="342"/>
        <item x="146"/>
        <item x="187"/>
        <item x="903"/>
        <item x="1268"/>
        <item x="244"/>
        <item x="1329"/>
        <item x="719"/>
        <item x="480"/>
        <item x="509"/>
        <item x="134"/>
        <item x="1276"/>
        <item x="210"/>
        <item x="1143"/>
        <item x="1191"/>
        <item x="1281"/>
        <item x="1332"/>
        <item x="520"/>
        <item x="373"/>
        <item x="543"/>
        <item x="93"/>
        <item x="807"/>
        <item x="1199"/>
        <item x="1207"/>
        <item x="775"/>
        <item x="843"/>
        <item x="498"/>
        <item x="823"/>
        <item x="53"/>
        <item x="405"/>
        <item x="643"/>
        <item x="1316"/>
        <item x="336"/>
        <item x="1095"/>
        <item x="656"/>
        <item x="227"/>
        <item x="1377"/>
        <item x="351"/>
        <item x="1376"/>
        <item x="771"/>
        <item x="1208"/>
        <item x="221"/>
        <item x="680"/>
        <item x="1380"/>
        <item x="51"/>
        <item x="515"/>
        <item x="350"/>
        <item x="522"/>
        <item x="644"/>
        <item x="795"/>
        <item x="967"/>
        <item x="1372"/>
        <item x="1299"/>
        <item x="174"/>
        <item x="352"/>
        <item x="141"/>
        <item x="533"/>
        <item x="31"/>
        <item x="582"/>
        <item x="1347"/>
        <item x="481"/>
        <item x="466"/>
        <item x="80"/>
        <item x="32"/>
        <item x="411"/>
        <item x="1364"/>
        <item x="919"/>
        <item x="729"/>
        <item x="939"/>
        <item x="815"/>
        <item x="331"/>
        <item x="137"/>
        <item x="767"/>
        <item x="791"/>
        <item x="127"/>
        <item x="819"/>
        <item x="391"/>
        <item x="353"/>
        <item x="825"/>
        <item x="696"/>
        <item x="409"/>
        <item x="494"/>
        <item x="968"/>
        <item x="94"/>
        <item x="591"/>
        <item x="983"/>
        <item x="708"/>
        <item x="840"/>
        <item x="281"/>
        <item x="871"/>
        <item x="959"/>
        <item x="657"/>
        <item x="328"/>
        <item x="1015"/>
        <item x="604"/>
        <item x="839"/>
        <item x="193"/>
        <item x="341"/>
        <item x="90"/>
        <item x="565"/>
        <item x="1063"/>
        <item x="5"/>
        <item x="1159"/>
        <item x="432"/>
        <item x="370"/>
        <item x="777"/>
        <item x="446"/>
        <item x="728"/>
        <item x="652"/>
        <item x="1112"/>
        <item x="744"/>
        <item x="1267"/>
        <item x="383"/>
        <item x="1151"/>
        <item x="235"/>
        <item x="497"/>
        <item x="691"/>
        <item x="484"/>
        <item x="1007"/>
        <item x="3"/>
        <item x="1160"/>
        <item x="1315"/>
        <item x="824"/>
        <item x="1016"/>
        <item x="630"/>
        <item x="278"/>
        <item x="284"/>
        <item x="911"/>
        <item x="186"/>
        <item x="1111"/>
        <item x="1264"/>
        <item x="474"/>
        <item x="891"/>
        <item x="920"/>
        <item x="423"/>
        <item x="792"/>
        <item x="1103"/>
        <item x="1064"/>
        <item x="592"/>
        <item x="1223"/>
        <item x="921"/>
        <item x="222"/>
        <item x="562"/>
        <item x="323"/>
        <item x="461"/>
        <item x="863"/>
        <item x="1312"/>
        <item x="704"/>
        <item x="188"/>
        <item x="935"/>
        <item x="852"/>
        <item x="45"/>
        <item x="969"/>
        <item x="752"/>
        <item x="936"/>
        <item x="270"/>
        <item x="196"/>
        <item x="42"/>
        <item x="1209"/>
        <item x="387"/>
        <item x="306"/>
        <item x="1254"/>
        <item x="1228"/>
        <item x="510"/>
        <item x="639"/>
        <item x="449"/>
        <item x="1031"/>
        <item x="185"/>
        <item x="546"/>
        <item x="189"/>
        <item x="1233"/>
        <item x="1236"/>
        <item x="1302"/>
        <item x="867"/>
        <item x="46"/>
        <item x="523"/>
        <item x="1055"/>
        <item x="450"/>
        <item x="984"/>
        <item x="1263"/>
        <item x="330"/>
        <item x="285"/>
        <item x="756"/>
        <item x="944"/>
        <item x="776"/>
        <item x="1363"/>
        <item x="1378"/>
        <item x="472"/>
        <item x="896"/>
        <item x="848"/>
        <item x="1282"/>
        <item x="996"/>
        <item x="581"/>
        <item x="417"/>
        <item x="1311"/>
        <item x="518"/>
        <item x="467"/>
        <item x="524"/>
        <item x="705"/>
        <item x="804"/>
        <item x="888"/>
        <item x="1232"/>
        <item x="293"/>
        <item x="433"/>
        <item x="317"/>
        <item x="1035"/>
        <item x="434"/>
        <item x="1127"/>
        <item x="844"/>
        <item x="568"/>
        <item x="1175"/>
        <item x="887"/>
        <item x="282"/>
        <item x="948"/>
        <item x="739"/>
        <item x="992"/>
        <item x="43"/>
        <item x="1220"/>
        <item x="1330"/>
        <item x="232"/>
        <item x="987"/>
        <item x="800"/>
        <item x="529"/>
        <item x="570"/>
        <item x="872"/>
        <item x="687"/>
        <item x="640"/>
        <item x="393"/>
        <item x="1224"/>
        <item x="1017"/>
        <item x="692"/>
        <item x="1360"/>
        <item x="1314"/>
        <item x="753"/>
        <item x="873"/>
        <item x="333"/>
        <item x="993"/>
        <item x="175"/>
        <item x="337"/>
        <item x="1188"/>
        <item x="700"/>
        <item x="557"/>
        <item x="1140"/>
        <item x="1359"/>
        <item x="1113"/>
        <item x="1079"/>
        <item x="1203"/>
        <item x="1036"/>
        <item x="530"/>
        <item x="915"/>
        <item x="748"/>
        <item x="1325"/>
        <item x="230"/>
        <item x="900"/>
        <item x="1277"/>
        <item x="796"/>
        <item x="963"/>
        <item x="613"/>
        <item x="678"/>
        <item x="726"/>
        <item x="194"/>
        <item x="1041"/>
        <item x="1089"/>
        <item x="407"/>
        <item x="289"/>
        <item x="1266"/>
        <item x="542"/>
        <item x="1161"/>
        <item x="408"/>
        <item x="1185"/>
        <item x="1361"/>
        <item x="528"/>
        <item x="1032"/>
        <item x="365"/>
        <item x="610"/>
        <item x="1350"/>
        <item x="1044"/>
        <item x="836"/>
        <item x="740"/>
        <item x="988"/>
        <item x="594"/>
        <item x="1080"/>
        <item x="404"/>
        <item x="1011"/>
        <item x="1065"/>
        <item x="1137"/>
        <item x="1184"/>
        <item x="1265"/>
        <item x="618"/>
        <item x="849"/>
        <item x="1124"/>
        <item x="788"/>
        <item x="233"/>
        <item x="1040"/>
        <item x="801"/>
        <item x="980"/>
        <item x="629"/>
        <item x="416"/>
        <item x="392"/>
        <item x="1373"/>
        <item x="420"/>
        <item x="354"/>
        <item x="1136"/>
        <item x="1180"/>
        <item x="1313"/>
        <item x="666"/>
        <item x="1132"/>
        <item x="1088"/>
        <item x="1028"/>
        <item x="1381"/>
        <item x="1128"/>
        <item x="234"/>
        <item x="475"/>
        <item x="1176"/>
        <item x="1092"/>
        <item x="545"/>
        <item x="940"/>
        <item x="326"/>
        <item x="223"/>
        <item x="787"/>
        <item x="1362"/>
        <item x="945"/>
        <item x="1155"/>
        <item x="379"/>
        <item x="1172"/>
        <item x="1333"/>
        <item x="577"/>
        <item x="329"/>
        <item x="1084"/>
        <item x="661"/>
        <item x="735"/>
        <item x="376"/>
        <item x="563"/>
        <item x="1059"/>
        <item x="892"/>
        <item x="390"/>
        <item x="774"/>
        <item x="932"/>
        <item x="1107"/>
        <item x="195"/>
        <item x="1285"/>
        <item x="822"/>
        <item x="332"/>
        <item x="292"/>
        <item x="1262"/>
        <item x="338"/>
        <item x="835"/>
        <item x="1076"/>
        <item x="371"/>
        <item x="897"/>
        <item x="236"/>
        <item x="1248"/>
        <item x="616"/>
        <item x="884"/>
        <item x="271"/>
        <item x="237"/>
        <item x="576"/>
        <item x="1310"/>
        <item x="578"/>
        <item x="1216"/>
        <item x="1083"/>
        <item x="979"/>
        <item x="709"/>
        <item x="1296"/>
        <item x="340"/>
        <item x="242"/>
        <item x="642"/>
        <item x="590"/>
        <item x="521"/>
        <item x="831"/>
        <item x="1131"/>
        <item x="783"/>
        <item x="403"/>
        <item x="624"/>
        <item x="658"/>
        <item x="605"/>
        <item x="1219"/>
        <item x="997"/>
        <item x="688"/>
        <item x="436"/>
        <item x="625"/>
        <item x="571"/>
        <item x="511"/>
        <item x="412"/>
        <item x="1344"/>
        <item x="1358"/>
        <item x="641"/>
        <item x="736"/>
        <item x="762"/>
        <item x="931"/>
        <item x="470"/>
        <item x="1237"/>
        <item x="976"/>
        <item x="1206"/>
        <item x="476"/>
        <item x="757"/>
        <item x="462"/>
        <item x="1217"/>
        <item x="714"/>
        <item x="975"/>
        <item x="593"/>
        <item x="664"/>
        <item x="918"/>
        <item x="525"/>
        <item x="832"/>
        <item x="619"/>
        <item x="611"/>
        <item x="1234"/>
        <item x="1024"/>
        <item x="853"/>
        <item x="653"/>
        <item x="532"/>
        <item x="1120"/>
        <item x="737"/>
        <item x="870"/>
        <item x="1215"/>
        <item x="805"/>
        <item x="883"/>
        <item x="810"/>
        <item x="802"/>
        <item x="659"/>
        <item x="638"/>
        <item x="725"/>
        <item x="850"/>
        <item x="400"/>
        <item x="566"/>
        <item x="626"/>
        <item x="1141"/>
        <item x="1042"/>
        <item x="1338"/>
        <item x="949"/>
        <item x="1168"/>
        <item x="677"/>
        <item x="421"/>
        <item x="784"/>
        <item x="672"/>
        <item x="1014"/>
        <item x="994"/>
        <item x="399"/>
        <item x="667"/>
        <item x="1290"/>
        <item x="754"/>
        <item x="901"/>
        <item x="966"/>
        <item x="381"/>
        <item x="558"/>
        <item x="928"/>
        <item x="720"/>
        <item x="734"/>
        <item x="572"/>
        <item x="712"/>
        <item x="686"/>
        <item x="398"/>
        <item x="927"/>
        <item x="1186"/>
        <item x="1072"/>
        <item x="477"/>
        <item x="1023"/>
        <item x="377"/>
        <item x="1167"/>
        <item x="1158"/>
        <item x="473"/>
        <item x="689"/>
        <item x="1229"/>
        <item x="785"/>
        <item x="673"/>
        <item x="858"/>
        <item x="1138"/>
        <item x="1110"/>
        <item x="1386"/>
        <item x="1171"/>
        <item x="319"/>
        <item x="606"/>
        <item x="880"/>
        <item x="1093"/>
        <item x="1283"/>
        <item x="1123"/>
        <item x="1045"/>
        <item x="706"/>
        <item x="1119"/>
        <item x="569"/>
        <item x="946"/>
        <item x="384"/>
        <item x="701"/>
        <item x="318"/>
        <item x="1291"/>
        <item x="1027"/>
        <item x="760"/>
        <item x="1062"/>
        <item x="879"/>
        <item x="833"/>
        <item x="1075"/>
        <item x="1071"/>
        <item x="738"/>
        <item x="830"/>
        <item x="374"/>
        <item x="881"/>
        <item x="91"/>
        <item x="1253"/>
        <item x="749"/>
        <item x="1090"/>
        <item x="334"/>
        <item x="690"/>
        <item x="821"/>
        <item x="418"/>
        <item x="977"/>
        <item x="989"/>
        <item x="1331"/>
        <item x="1189"/>
        <item x="580"/>
        <item x="1073"/>
        <item x="808"/>
        <item x="786"/>
        <item x="834"/>
        <item x="1249"/>
        <item x="816"/>
        <item x="773"/>
        <item x="1121"/>
        <item x="845"/>
        <item x="1288"/>
        <item x="1169"/>
        <item x="620"/>
        <item x="463"/>
        <item x="1339"/>
        <item x="782"/>
        <item x="674"/>
        <item x="715"/>
        <item x="797"/>
        <item x="707"/>
        <item x="1218"/>
        <item x="856"/>
        <item x="906"/>
        <item x="898"/>
        <item x="1379"/>
        <item x="768"/>
        <item x="1200"/>
        <item x="1336"/>
        <item x="1025"/>
        <item x="1002"/>
        <item x="954"/>
        <item x="654"/>
        <item x="1104"/>
        <item x="401"/>
        <item x="614"/>
        <item x="389"/>
        <item x="1214"/>
        <item x="1387"/>
        <item x="1250"/>
        <item x="929"/>
        <item x="721"/>
        <item x="930"/>
        <item x="1301"/>
        <item x="668"/>
        <item x="978"/>
        <item x="1384"/>
        <item x="573"/>
        <item x="1181"/>
        <item x="1297"/>
        <item x="1252"/>
        <item x="366"/>
        <item x="1133"/>
        <item x="385"/>
        <item x="243"/>
        <item x="1026"/>
        <item x="864"/>
        <item x="941"/>
        <item x="1300"/>
        <item x="1037"/>
        <item x="974"/>
        <item x="893"/>
        <item x="1008"/>
        <item x="1152"/>
        <item x="755"/>
        <item x="378"/>
        <item x="878"/>
        <item x="1242"/>
        <item x="1340"/>
        <item x="960"/>
        <item x="1122"/>
        <item x="1298"/>
        <item x="1085"/>
        <item x="1292"/>
        <item x="952"/>
        <item x="912"/>
        <item x="628"/>
        <item x="722"/>
        <item x="380"/>
        <item x="1166"/>
        <item x="1345"/>
        <item x="1278"/>
        <item x="926"/>
        <item x="917"/>
        <item x="402"/>
        <item x="1170"/>
        <item x="617"/>
        <item x="1074"/>
        <item x="1050"/>
        <item x="1056"/>
        <item x="1118"/>
        <item x="769"/>
        <item x="869"/>
        <item x="811"/>
        <item x="1349"/>
        <item x="763"/>
        <item x="904"/>
        <item x="882"/>
        <item x="559"/>
        <item x="859"/>
        <item x="386"/>
        <item x="413"/>
        <item x="1000"/>
        <item x="955"/>
        <item x="716"/>
        <item x="1326"/>
        <item x="1022"/>
        <item x="1070"/>
        <item x="1348"/>
        <item x="1346"/>
        <item x="817"/>
        <item x="1003"/>
        <item x="426"/>
        <item x="424"/>
        <item x="665"/>
        <item x="1388"/>
        <item x="428"/>
        <item x="1337"/>
        <item x="702"/>
        <item x="388"/>
        <item x="851"/>
        <item x="750"/>
        <item x="1146"/>
        <item x="803"/>
        <item x="669"/>
        <item x="995"/>
        <item x="1048"/>
        <item x="1235"/>
        <item x="965"/>
        <item x="526"/>
        <item x="913"/>
        <item x="1194"/>
        <item x="764"/>
        <item x="818"/>
        <item x="7"/>
        <item x="1385"/>
        <item x="907"/>
        <item x="947"/>
        <item x="367"/>
        <item x="419"/>
        <item x="770"/>
        <item x="1205"/>
        <item x="724"/>
        <item x="1240"/>
        <item x="1243"/>
        <item x="427"/>
        <item x="662"/>
        <item x="1289"/>
        <item x="1374"/>
        <item x="676"/>
        <item x="1144"/>
        <item x="621"/>
        <item x="865"/>
        <item x="1013"/>
        <item x="860"/>
        <item x="812"/>
        <item x="1293"/>
        <item x="846"/>
        <item x="914"/>
        <item x="1043"/>
        <item x="866"/>
        <item x="607"/>
        <item x="1157"/>
        <item x="1341"/>
        <item x="1192"/>
        <item x="1096"/>
        <item x="1187"/>
        <item x="1286"/>
        <item x="1147"/>
        <item x="1051"/>
        <item x="1109"/>
        <item x="1139"/>
        <item x="1009"/>
        <item x="1201"/>
        <item x="798"/>
        <item x="908"/>
        <item x="961"/>
        <item x="713"/>
        <item x="1389"/>
        <item x="1202"/>
        <item x="1098"/>
        <item x="1061"/>
        <item x="1099"/>
        <item x="916"/>
        <item x="1279"/>
        <item x="1091"/>
        <item x="425"/>
        <item x="820"/>
        <item x="47"/>
        <item x="899"/>
        <item x="1204"/>
        <item x="1195"/>
        <item x="478"/>
        <item x="1105"/>
        <item x="717"/>
        <item x="1334"/>
        <item x="761"/>
        <item x="574"/>
        <item x="956"/>
        <item x="772"/>
        <item x="765"/>
        <item x="710"/>
        <item x="894"/>
        <item x="962"/>
        <item x="1327"/>
        <item x="990"/>
        <item x="758"/>
        <item x="1241"/>
        <item x="1057"/>
        <item x="1001"/>
        <item x="868"/>
        <item x="286"/>
        <item x="942"/>
        <item x="861"/>
        <item x="1058"/>
        <item x="1108"/>
        <item x="1004"/>
        <item x="655"/>
        <item x="1382"/>
        <item x="1106"/>
        <item x="1230"/>
        <item x="1060"/>
        <item x="1154"/>
        <item x="382"/>
        <item x="964"/>
        <item x="429"/>
        <item x="1010"/>
        <item x="1244"/>
        <item x="1156"/>
        <item x="1153"/>
        <item x="1375"/>
        <item x="1038"/>
        <item x="813"/>
        <item x="854"/>
        <item x="857"/>
        <item x="809"/>
        <item x="905"/>
        <item x="1052"/>
        <item x="953"/>
        <item x="950"/>
        <item x="414"/>
        <item x="622"/>
        <item x="1193"/>
        <item x="1049"/>
        <item x="806"/>
        <item x="957"/>
        <item x="1145"/>
        <item x="1134"/>
        <item x="909"/>
        <item x="1012"/>
        <item x="95"/>
        <item x="1196"/>
        <item x="1148"/>
        <item x="1100"/>
        <item x="1182"/>
        <item x="1245"/>
        <item x="670"/>
        <item x="1086"/>
        <item x="142"/>
        <item x="703"/>
        <item x="1005"/>
        <item x="902"/>
        <item x="422"/>
        <item x="1097"/>
        <item x="1342"/>
        <item x="1238"/>
        <item x="1294"/>
        <item x="1053"/>
        <item x="998"/>
        <item x="751"/>
        <item x="943"/>
        <item x="430"/>
        <item x="1197"/>
        <item x="1390"/>
        <item x="1149"/>
        <item x="1231"/>
        <item x="415"/>
        <item x="1101"/>
        <item x="1039"/>
        <item x="991"/>
        <item x="102"/>
        <item x="1046"/>
        <item x="847"/>
        <item x="799"/>
        <item x="1190"/>
        <item x="1135"/>
        <item x="766"/>
        <item x="1087"/>
        <item x="718"/>
        <item x="1183"/>
        <item x="1142"/>
        <item x="1094"/>
        <item x="895"/>
        <item x="190"/>
        <item x="246"/>
        <item x="238"/>
        <item x="862"/>
        <item x="814"/>
        <item x="1246"/>
        <item x="958"/>
        <item x="150"/>
        <item x="198"/>
        <item x="55"/>
        <item x="1006"/>
        <item x="910"/>
        <item x="1198"/>
        <item x="1150"/>
        <item x="291"/>
        <item x="1054"/>
        <item x="1102"/>
        <item x="290"/>
        <item x="294"/>
        <item t="default"/>
      </items>
    </pivotField>
  </pivotFields>
  <rowFields count="1">
    <field x="2"/>
  </rowFields>
  <rowItems count="49">
    <i>
      <x v="29"/>
    </i>
    <i>
      <x v="21"/>
    </i>
    <i>
      <x v="45"/>
    </i>
    <i>
      <x v="47"/>
    </i>
    <i>
      <x v="36"/>
    </i>
    <i>
      <x v="40"/>
    </i>
    <i>
      <x v="46"/>
    </i>
    <i>
      <x v="13"/>
    </i>
    <i>
      <x v="20"/>
    </i>
    <i>
      <x v="37"/>
    </i>
    <i>
      <x v="9"/>
    </i>
    <i>
      <x v="42"/>
    </i>
    <i>
      <x v="23"/>
    </i>
    <i>
      <x v="2"/>
    </i>
    <i>
      <x v="31"/>
    </i>
    <i>
      <x v="16"/>
    </i>
    <i>
      <x v="26"/>
    </i>
    <i>
      <x v="7"/>
    </i>
    <i>
      <x v="5"/>
    </i>
    <i>
      <x v="17"/>
    </i>
    <i>
      <x v="34"/>
    </i>
    <i>
      <x v="15"/>
    </i>
    <i>
      <x v="24"/>
    </i>
    <i>
      <x v="14"/>
    </i>
    <i>
      <x v="32"/>
    </i>
    <i>
      <x v="12"/>
    </i>
    <i>
      <x v="41"/>
    </i>
    <i>
      <x v="11"/>
    </i>
    <i>
      <x v="18"/>
    </i>
    <i>
      <x v="22"/>
    </i>
    <i>
      <x v="44"/>
    </i>
    <i>
      <x v="19"/>
    </i>
    <i>
      <x v="30"/>
    </i>
    <i>
      <x v="38"/>
    </i>
    <i>
      <x/>
    </i>
    <i>
      <x v="28"/>
    </i>
    <i>
      <x v="3"/>
    </i>
    <i>
      <x v="4"/>
    </i>
    <i>
      <x v="39"/>
    </i>
    <i>
      <x v="35"/>
    </i>
    <i>
      <x v="43"/>
    </i>
    <i>
      <x v="1"/>
    </i>
    <i>
      <x v="6"/>
    </i>
    <i>
      <x v="8"/>
    </i>
    <i>
      <x v="10"/>
    </i>
    <i>
      <x v="25"/>
    </i>
    <i>
      <x v="33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1.地方税" fld="3" baseField="0" baseItem="0" numFmtId="3"/>
    <dataField name="Sum of 18.国庫支出金_(14)普通建設事業費支出金" fld="4" baseField="0" baseItem="0" numFmtId="3"/>
    <dataField name="Sum of 18.国庫支出金_(32)その他" fld="5" baseField="0" baseItem="0" numFmtId="3"/>
    <dataField name="Sum of Development aid" fld="6" baseField="0" baseItem="0" numFmtId="3"/>
    <dataField name="Average of aid/tax ratio" fld="7" subtotal="average" baseField="0" baseItem="0"/>
  </dataFields>
  <formats count="1">
    <format dxfId="3">
      <pivotArea collapsedLevelsAreSubtotals="1" fieldPosition="0">
        <references count="2">
          <reference field="4294967294" count="1" selected="0">
            <x v="4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91762-BC9E-4C2A-B366-9CD6FA2FFDBE}">
  <dimension ref="A3:F52"/>
  <sheetViews>
    <sheetView tabSelected="1" workbookViewId="0">
      <selection activeCell="F43" sqref="F43"/>
    </sheetView>
  </sheetViews>
  <sheetFormatPr defaultRowHeight="14.25"/>
  <cols>
    <col min="1" max="1" width="13.125" bestFit="1" customWidth="1"/>
    <col min="2" max="2" width="14.75" bestFit="1" customWidth="1"/>
    <col min="3" max="3" width="27.5" customWidth="1"/>
    <col min="4" max="4" width="29.875" bestFit="1" customWidth="1"/>
    <col min="5" max="5" width="22.875" bestFit="1" customWidth="1"/>
    <col min="6" max="6" width="21.625" bestFit="1" customWidth="1"/>
  </cols>
  <sheetData>
    <row r="3" spans="1:6">
      <c r="A3" s="3" t="s">
        <v>95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</row>
    <row r="4" spans="1:6">
      <c r="A4" s="4" t="s">
        <v>64</v>
      </c>
      <c r="B4" s="2">
        <v>2812828862</v>
      </c>
      <c r="C4" s="2">
        <v>3330313373</v>
      </c>
      <c r="D4" s="2">
        <v>958575246</v>
      </c>
      <c r="E4" s="2">
        <v>4288888619</v>
      </c>
      <c r="F4" s="6">
        <v>1.572455539417364</v>
      </c>
    </row>
    <row r="5" spans="1:6">
      <c r="A5" s="4" t="s">
        <v>49</v>
      </c>
      <c r="B5" s="2">
        <v>2009533770</v>
      </c>
      <c r="C5" s="2">
        <v>1580663658</v>
      </c>
      <c r="D5" s="2">
        <v>595733659</v>
      </c>
      <c r="E5" s="2">
        <v>2176397317</v>
      </c>
      <c r="F5" s="6">
        <v>1.0920433712178368</v>
      </c>
    </row>
    <row r="6" spans="1:6">
      <c r="A6" s="4" t="s">
        <v>56</v>
      </c>
      <c r="B6" s="2">
        <v>1931597212</v>
      </c>
      <c r="C6" s="2">
        <v>1341714575</v>
      </c>
      <c r="D6" s="2">
        <v>467674843</v>
      </c>
      <c r="E6" s="2">
        <v>1809389418</v>
      </c>
      <c r="F6" s="6">
        <v>0.95456842729114399</v>
      </c>
    </row>
    <row r="7" spans="1:6">
      <c r="A7" s="4" t="s">
        <v>63</v>
      </c>
      <c r="B7" s="2">
        <v>4173603769</v>
      </c>
      <c r="C7" s="2">
        <v>2851151106</v>
      </c>
      <c r="D7" s="2">
        <v>991129133</v>
      </c>
      <c r="E7" s="2">
        <v>3842280239</v>
      </c>
      <c r="F7" s="6">
        <v>0.94144508039594332</v>
      </c>
    </row>
    <row r="8" spans="1:6">
      <c r="A8" s="4" t="s">
        <v>22</v>
      </c>
      <c r="B8" s="2">
        <v>6627930317</v>
      </c>
      <c r="C8" s="2">
        <v>2137677670</v>
      </c>
      <c r="D8" s="2">
        <v>3593953614</v>
      </c>
      <c r="E8" s="2">
        <v>5731631284</v>
      </c>
      <c r="F8" s="6">
        <v>0.88270320690406123</v>
      </c>
    </row>
    <row r="9" spans="1:6">
      <c r="A9" s="4" t="s">
        <v>59</v>
      </c>
      <c r="B9" s="2">
        <v>3380563869</v>
      </c>
      <c r="C9" s="2">
        <v>2165919490</v>
      </c>
      <c r="D9" s="2">
        <v>736080770</v>
      </c>
      <c r="E9" s="2">
        <v>2902000260</v>
      </c>
      <c r="F9" s="6">
        <v>0.87219793871730433</v>
      </c>
    </row>
    <row r="10" spans="1:6">
      <c r="A10" s="4" t="s">
        <v>48</v>
      </c>
      <c r="B10" s="2">
        <v>1631644514</v>
      </c>
      <c r="C10" s="2">
        <v>854995473</v>
      </c>
      <c r="D10" s="2">
        <v>473621459</v>
      </c>
      <c r="E10" s="2">
        <v>1328616932</v>
      </c>
      <c r="F10" s="6">
        <v>0.82390403403275136</v>
      </c>
    </row>
    <row r="11" spans="1:6">
      <c r="A11" s="4" t="s">
        <v>62</v>
      </c>
      <c r="B11" s="2">
        <v>2824752072</v>
      </c>
      <c r="C11" s="2">
        <v>1516168645</v>
      </c>
      <c r="D11" s="2">
        <v>706043397</v>
      </c>
      <c r="E11" s="2">
        <v>2222212042</v>
      </c>
      <c r="F11" s="6">
        <v>0.81039528035508401</v>
      </c>
    </row>
    <row r="12" spans="1:6">
      <c r="A12" s="4" t="s">
        <v>14</v>
      </c>
      <c r="B12" s="2">
        <v>3668617188</v>
      </c>
      <c r="C12" s="2">
        <v>1892663795</v>
      </c>
      <c r="D12" s="2">
        <v>948556615</v>
      </c>
      <c r="E12" s="2">
        <v>2841220410</v>
      </c>
      <c r="F12" s="6">
        <v>0.79843044723108303</v>
      </c>
    </row>
    <row r="13" spans="1:6">
      <c r="A13" s="4" t="s">
        <v>18</v>
      </c>
      <c r="B13" s="2">
        <v>2927594712</v>
      </c>
      <c r="C13" s="2">
        <v>1714659861</v>
      </c>
      <c r="D13" s="2">
        <v>578437684</v>
      </c>
      <c r="E13" s="2">
        <v>2293097545</v>
      </c>
      <c r="F13" s="6">
        <v>0.78201316494685014</v>
      </c>
    </row>
    <row r="14" spans="1:6">
      <c r="A14" s="4" t="s">
        <v>61</v>
      </c>
      <c r="B14" s="2">
        <v>3246762556</v>
      </c>
      <c r="C14" s="2">
        <v>1579728008</v>
      </c>
      <c r="D14" s="2">
        <v>544006098</v>
      </c>
      <c r="E14" s="2">
        <v>2123734106</v>
      </c>
      <c r="F14" s="6">
        <v>0.66964827803471505</v>
      </c>
    </row>
    <row r="15" spans="1:6">
      <c r="A15" s="4" t="s">
        <v>12</v>
      </c>
      <c r="B15" s="2">
        <v>3828618324</v>
      </c>
      <c r="C15" s="2">
        <v>1761251188</v>
      </c>
      <c r="D15" s="2">
        <v>661831268</v>
      </c>
      <c r="E15" s="2">
        <v>2423082456</v>
      </c>
      <c r="F15" s="6">
        <v>0.66665603083263736</v>
      </c>
    </row>
    <row r="16" spans="1:6">
      <c r="A16" s="4" t="s">
        <v>53</v>
      </c>
      <c r="B16" s="2">
        <v>2351691660</v>
      </c>
      <c r="C16" s="2">
        <v>1131208669</v>
      </c>
      <c r="D16" s="2">
        <v>390635564</v>
      </c>
      <c r="E16" s="2">
        <v>1521844233</v>
      </c>
      <c r="F16" s="6">
        <v>0.65964939388019372</v>
      </c>
    </row>
    <row r="17" spans="1:6">
      <c r="A17" s="4" t="s">
        <v>58</v>
      </c>
      <c r="B17" s="2">
        <v>2465878636</v>
      </c>
      <c r="C17" s="2">
        <v>1105910498</v>
      </c>
      <c r="D17" s="2">
        <v>390522667</v>
      </c>
      <c r="E17" s="2">
        <v>1496433165</v>
      </c>
      <c r="F17" s="6">
        <v>0.61893530928146245</v>
      </c>
    </row>
    <row r="18" spans="1:6">
      <c r="A18" s="4" t="s">
        <v>60</v>
      </c>
      <c r="B18" s="2">
        <v>4656215874</v>
      </c>
      <c r="C18" s="2">
        <v>1852870695</v>
      </c>
      <c r="D18" s="2">
        <v>942563801</v>
      </c>
      <c r="E18" s="2">
        <v>2795434496</v>
      </c>
      <c r="F18" s="6">
        <v>0.6137812736414584</v>
      </c>
    </row>
    <row r="19" spans="1:6">
      <c r="A19" s="4" t="s">
        <v>20</v>
      </c>
      <c r="B19" s="2">
        <v>3232779525</v>
      </c>
      <c r="C19" s="2">
        <v>1276087504</v>
      </c>
      <c r="D19" s="2">
        <v>603230605</v>
      </c>
      <c r="E19" s="2">
        <v>1879318109</v>
      </c>
      <c r="F19" s="6">
        <v>0.59148270353300336</v>
      </c>
    </row>
    <row r="20" spans="1:6">
      <c r="A20" s="4" t="s">
        <v>32</v>
      </c>
      <c r="B20" s="2">
        <v>7638095424</v>
      </c>
      <c r="C20" s="2">
        <v>3194131116</v>
      </c>
      <c r="D20" s="2">
        <v>939445271</v>
      </c>
      <c r="E20" s="2">
        <v>4133576387</v>
      </c>
      <c r="F20" s="6">
        <v>0.5412086624215352</v>
      </c>
    </row>
    <row r="21" spans="1:6">
      <c r="A21" s="4" t="s">
        <v>47</v>
      </c>
      <c r="B21" s="2">
        <v>2794489826</v>
      </c>
      <c r="C21" s="2">
        <v>1098849217</v>
      </c>
      <c r="D21" s="2">
        <v>401395386</v>
      </c>
      <c r="E21" s="2">
        <v>1500244603</v>
      </c>
      <c r="F21" s="6">
        <v>0.54083797057112393</v>
      </c>
    </row>
    <row r="22" spans="1:6">
      <c r="A22" s="4" t="s">
        <v>10</v>
      </c>
      <c r="B22" s="2">
        <v>16735788902</v>
      </c>
      <c r="C22" s="2">
        <v>6580145416</v>
      </c>
      <c r="D22" s="2">
        <v>2270910875</v>
      </c>
      <c r="E22" s="2">
        <v>8851056291</v>
      </c>
      <c r="F22" s="6">
        <v>0.53511124241099128</v>
      </c>
    </row>
    <row r="23" spans="1:6">
      <c r="A23" s="4" t="s">
        <v>36</v>
      </c>
      <c r="B23" s="2">
        <v>2947693469</v>
      </c>
      <c r="C23" s="2">
        <v>1260943233</v>
      </c>
      <c r="D23" s="2">
        <v>281506325</v>
      </c>
      <c r="E23" s="2">
        <v>1542449558</v>
      </c>
      <c r="F23" s="6">
        <v>0.53342362799006515</v>
      </c>
    </row>
    <row r="24" spans="1:6">
      <c r="A24" s="4" t="s">
        <v>35</v>
      </c>
      <c r="B24" s="2">
        <v>3153630261</v>
      </c>
      <c r="C24" s="2">
        <v>1157827547</v>
      </c>
      <c r="D24" s="2">
        <v>416820166</v>
      </c>
      <c r="E24" s="2">
        <v>1574647713</v>
      </c>
      <c r="F24" s="6">
        <v>0.49756228414794296</v>
      </c>
    </row>
    <row r="25" spans="1:6">
      <c r="A25" s="4" t="s">
        <v>52</v>
      </c>
      <c r="B25" s="2">
        <v>4639181262</v>
      </c>
      <c r="C25" s="2">
        <v>1430100751</v>
      </c>
      <c r="D25" s="2">
        <v>663845706</v>
      </c>
      <c r="E25" s="2">
        <v>2093946457</v>
      </c>
      <c r="F25" s="6">
        <v>0.45470577855306804</v>
      </c>
    </row>
    <row r="26" spans="1:6">
      <c r="A26" s="4" t="s">
        <v>55</v>
      </c>
      <c r="B26" s="2">
        <v>4056729348</v>
      </c>
      <c r="C26" s="2">
        <v>1209160446</v>
      </c>
      <c r="D26" s="2">
        <v>503401719</v>
      </c>
      <c r="E26" s="2">
        <v>1712562165</v>
      </c>
      <c r="F26" s="6">
        <v>0.43061559890307277</v>
      </c>
    </row>
    <row r="27" spans="1:6">
      <c r="A27" s="4" t="s">
        <v>33</v>
      </c>
      <c r="B27" s="2">
        <v>3772021536</v>
      </c>
      <c r="C27" s="2">
        <v>1118185719</v>
      </c>
      <c r="D27" s="2">
        <v>419643866</v>
      </c>
      <c r="E27" s="2">
        <v>1537829585</v>
      </c>
      <c r="F27" s="6">
        <v>0.4122011348873118</v>
      </c>
    </row>
    <row r="28" spans="1:6">
      <c r="A28" s="4" t="s">
        <v>34</v>
      </c>
      <c r="B28" s="2">
        <v>4042018468</v>
      </c>
      <c r="C28" s="2">
        <v>1133647473</v>
      </c>
      <c r="D28" s="2">
        <v>487063855</v>
      </c>
      <c r="E28" s="2">
        <v>1620711328</v>
      </c>
      <c r="F28" s="6">
        <v>0.40707580763369533</v>
      </c>
    </row>
    <row r="29" spans="1:6">
      <c r="A29" s="4" t="s">
        <v>16</v>
      </c>
      <c r="B29" s="2">
        <v>7597400429</v>
      </c>
      <c r="C29" s="2">
        <v>1598749926</v>
      </c>
      <c r="D29" s="2">
        <v>1332601623</v>
      </c>
      <c r="E29" s="2">
        <v>2931351549</v>
      </c>
      <c r="F29" s="6">
        <v>0.40022189736681946</v>
      </c>
    </row>
    <row r="30" spans="1:6">
      <c r="A30" s="4" t="s">
        <v>37</v>
      </c>
      <c r="B30" s="2">
        <v>7088870589</v>
      </c>
      <c r="C30" s="2">
        <v>1851964110</v>
      </c>
      <c r="D30" s="2">
        <v>781903990</v>
      </c>
      <c r="E30" s="2">
        <v>2633868100</v>
      </c>
      <c r="F30" s="6">
        <v>0.37246118643622289</v>
      </c>
    </row>
    <row r="31" spans="1:6">
      <c r="A31" s="4" t="s">
        <v>46</v>
      </c>
      <c r="B31" s="2">
        <v>3614391191</v>
      </c>
      <c r="C31" s="2">
        <v>780823769</v>
      </c>
      <c r="D31" s="2">
        <v>393604897</v>
      </c>
      <c r="E31" s="2">
        <v>1174428666</v>
      </c>
      <c r="F31" s="6">
        <v>0.3302765482643174</v>
      </c>
    </row>
    <row r="32" spans="1:6">
      <c r="A32" s="4" t="s">
        <v>38</v>
      </c>
      <c r="B32" s="2">
        <v>6774985883</v>
      </c>
      <c r="C32" s="2">
        <v>1497820405</v>
      </c>
      <c r="D32" s="2">
        <v>649556933</v>
      </c>
      <c r="E32" s="2">
        <v>2147377338</v>
      </c>
      <c r="F32" s="6">
        <v>0.32074792318138495</v>
      </c>
    </row>
    <row r="33" spans="1:6">
      <c r="A33" s="4" t="s">
        <v>51</v>
      </c>
      <c r="B33" s="2">
        <v>9291427756</v>
      </c>
      <c r="C33" s="2">
        <v>1479180682</v>
      </c>
      <c r="D33" s="2">
        <v>1270790169</v>
      </c>
      <c r="E33" s="2">
        <v>2749970851</v>
      </c>
      <c r="F33" s="6">
        <v>0.30450663680468421</v>
      </c>
    </row>
    <row r="34" spans="1:6">
      <c r="A34" s="4" t="s">
        <v>54</v>
      </c>
      <c r="B34" s="2">
        <v>3341980702</v>
      </c>
      <c r="C34" s="2">
        <v>576460371</v>
      </c>
      <c r="D34" s="2">
        <v>393762103</v>
      </c>
      <c r="E34" s="2">
        <v>970222474</v>
      </c>
      <c r="F34" s="6">
        <v>0.29504035000703016</v>
      </c>
    </row>
    <row r="35" spans="1:6">
      <c r="A35" s="4" t="s">
        <v>50</v>
      </c>
      <c r="B35" s="2">
        <v>6080504700</v>
      </c>
      <c r="C35" s="2">
        <v>1067736825</v>
      </c>
      <c r="D35" s="2">
        <v>658271360</v>
      </c>
      <c r="E35" s="2">
        <v>1726008185</v>
      </c>
      <c r="F35" s="6">
        <v>0.29123144720119309</v>
      </c>
    </row>
    <row r="36" spans="1:6">
      <c r="A36" s="4" t="s">
        <v>42</v>
      </c>
      <c r="B36" s="2">
        <v>4618267806</v>
      </c>
      <c r="C36" s="2">
        <v>759513955</v>
      </c>
      <c r="D36" s="2">
        <v>471913781</v>
      </c>
      <c r="E36" s="2">
        <v>1231427736</v>
      </c>
      <c r="F36" s="6">
        <v>0.27419597188582556</v>
      </c>
    </row>
    <row r="37" spans="1:6">
      <c r="A37" s="4" t="s">
        <v>27</v>
      </c>
      <c r="B37" s="2">
        <v>6780032951</v>
      </c>
      <c r="C37" s="2">
        <v>1121304333</v>
      </c>
      <c r="D37" s="2">
        <v>588891434</v>
      </c>
      <c r="E37" s="2">
        <v>1710195767</v>
      </c>
      <c r="F37" s="6">
        <v>0.25822084219424629</v>
      </c>
    </row>
    <row r="38" spans="1:6">
      <c r="A38" s="4" t="s">
        <v>41</v>
      </c>
      <c r="B38" s="2">
        <v>6477351652</v>
      </c>
      <c r="C38" s="2">
        <v>1162902863</v>
      </c>
      <c r="D38" s="2">
        <v>461961639</v>
      </c>
      <c r="E38" s="2">
        <v>1624864502</v>
      </c>
      <c r="F38" s="6">
        <v>0.25671728973601415</v>
      </c>
    </row>
    <row r="39" spans="1:6">
      <c r="A39" s="4" t="s">
        <v>26</v>
      </c>
      <c r="B39" s="2">
        <v>7132476763</v>
      </c>
      <c r="C39" s="2">
        <v>1085865228</v>
      </c>
      <c r="D39" s="2">
        <v>663399069</v>
      </c>
      <c r="E39" s="2">
        <v>1749264297</v>
      </c>
      <c r="F39" s="6">
        <v>0.25111244286779943</v>
      </c>
    </row>
    <row r="40" spans="1:6">
      <c r="A40" s="4" t="s">
        <v>8</v>
      </c>
      <c r="B40" s="2">
        <v>480426409409</v>
      </c>
      <c r="C40" s="2">
        <v>77016344253</v>
      </c>
      <c r="D40" s="2">
        <v>40334310869</v>
      </c>
      <c r="E40" s="2">
        <v>117350655122</v>
      </c>
      <c r="F40" s="6">
        <v>0.24934360525058377</v>
      </c>
    </row>
    <row r="41" spans="1:6">
      <c r="A41" s="4" t="s">
        <v>45</v>
      </c>
      <c r="B41" s="2">
        <v>17599926634</v>
      </c>
      <c r="C41" s="2">
        <v>2485214194</v>
      </c>
      <c r="D41" s="2">
        <v>1469115957</v>
      </c>
      <c r="E41" s="2">
        <v>3954330151</v>
      </c>
      <c r="F41" s="6">
        <v>0.23219103462659996</v>
      </c>
    </row>
    <row r="42" spans="1:6">
      <c r="A42" s="4" t="s">
        <v>24</v>
      </c>
      <c r="B42" s="2">
        <v>10027686002</v>
      </c>
      <c r="C42" s="2">
        <v>1291424014</v>
      </c>
      <c r="D42" s="2">
        <v>851057517</v>
      </c>
      <c r="E42" s="2">
        <v>2142481531</v>
      </c>
      <c r="F42" s="6">
        <v>0.21992700430518147</v>
      </c>
    </row>
    <row r="43" spans="1:6">
      <c r="A43" s="4" t="s">
        <v>57</v>
      </c>
      <c r="B43" s="2">
        <v>14924137161</v>
      </c>
      <c r="C43" s="2">
        <v>1671788887</v>
      </c>
      <c r="D43" s="2">
        <v>1310289838</v>
      </c>
      <c r="E43" s="2">
        <v>2982078725</v>
      </c>
      <c r="F43" s="6">
        <v>0.20554258448055937</v>
      </c>
    </row>
    <row r="44" spans="1:6">
      <c r="A44" s="4" t="s">
        <v>39</v>
      </c>
      <c r="B44" s="2">
        <v>14164922918</v>
      </c>
      <c r="C44" s="2">
        <v>1592004955</v>
      </c>
      <c r="D44" s="2">
        <v>815131524</v>
      </c>
      <c r="E44" s="2">
        <v>2407136479</v>
      </c>
      <c r="F44" s="6">
        <v>0.17275298347189671</v>
      </c>
    </row>
    <row r="45" spans="1:6">
      <c r="A45" s="4" t="s">
        <v>43</v>
      </c>
      <c r="B45" s="2">
        <v>8633618847</v>
      </c>
      <c r="C45" s="2">
        <v>820744337</v>
      </c>
      <c r="D45" s="2">
        <v>575973626</v>
      </c>
      <c r="E45" s="2">
        <v>1396717963</v>
      </c>
      <c r="F45" s="6">
        <v>0.16412206292067891</v>
      </c>
    </row>
    <row r="46" spans="1:6">
      <c r="A46" s="4" t="s">
        <v>29</v>
      </c>
      <c r="B46" s="2">
        <v>18521051587</v>
      </c>
      <c r="C46" s="2">
        <v>1554498909</v>
      </c>
      <c r="D46" s="2">
        <v>1291630902</v>
      </c>
      <c r="E46" s="2">
        <v>2846129811</v>
      </c>
      <c r="F46" s="6">
        <v>0.1589112984433261</v>
      </c>
    </row>
    <row r="47" spans="1:6">
      <c r="A47" s="4" t="s">
        <v>28</v>
      </c>
      <c r="B47" s="2">
        <v>20498955480</v>
      </c>
      <c r="C47" s="2">
        <v>1343761753</v>
      </c>
      <c r="D47" s="2">
        <v>1025907207</v>
      </c>
      <c r="E47" s="2">
        <v>2369668960</v>
      </c>
      <c r="F47" s="6">
        <v>0.12045069671763978</v>
      </c>
    </row>
    <row r="48" spans="1:6">
      <c r="A48" s="4" t="s">
        <v>44</v>
      </c>
      <c r="B48" s="2">
        <v>33812012846</v>
      </c>
      <c r="C48" s="2">
        <v>1794764348</v>
      </c>
      <c r="D48" s="2">
        <v>1736279795</v>
      </c>
      <c r="E48" s="2">
        <v>3531044143</v>
      </c>
      <c r="F48" s="6">
        <v>0.10686601104874736</v>
      </c>
    </row>
    <row r="49" spans="1:6">
      <c r="A49" s="4" t="s">
        <v>40</v>
      </c>
      <c r="B49" s="2">
        <v>31348804714</v>
      </c>
      <c r="C49" s="2">
        <v>1896052334</v>
      </c>
      <c r="D49" s="2">
        <v>1174432772</v>
      </c>
      <c r="E49" s="2">
        <v>3070485106</v>
      </c>
      <c r="F49" s="6">
        <v>0.10082261312210658</v>
      </c>
    </row>
    <row r="50" spans="1:6">
      <c r="A50" s="4" t="s">
        <v>31</v>
      </c>
      <c r="B50" s="2">
        <v>30054827103</v>
      </c>
      <c r="C50" s="2">
        <v>989319167</v>
      </c>
      <c r="D50" s="2">
        <v>1111264917</v>
      </c>
      <c r="E50" s="2">
        <v>2100584084</v>
      </c>
      <c r="F50" s="6">
        <v>7.2513313073687843E-2</v>
      </c>
    </row>
    <row r="51" spans="1:6">
      <c r="A51" s="4" t="s">
        <v>30</v>
      </c>
      <c r="B51" s="2">
        <v>130635108183</v>
      </c>
      <c r="C51" s="2">
        <v>3314394607</v>
      </c>
      <c r="D51" s="2">
        <v>2682533626</v>
      </c>
      <c r="E51" s="2">
        <v>5996928233</v>
      </c>
      <c r="F51" s="6">
        <v>4.718008237317646E-2</v>
      </c>
    </row>
    <row r="52" spans="1:6">
      <c r="A52" s="4" t="s">
        <v>96</v>
      </c>
      <c r="B52" s="2">
        <v>980995412662</v>
      </c>
      <c r="C52" s="2">
        <v>155028609351</v>
      </c>
      <c r="D52" s="2">
        <v>82011215140</v>
      </c>
      <c r="E52" s="2">
        <v>237039824491</v>
      </c>
      <c r="F52" s="5">
        <v>0.47742233743499696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D3A8-A80D-4B80-8883-66D7DA117336}">
  <dimension ref="A1:H1392"/>
  <sheetViews>
    <sheetView workbookViewId="0">
      <selection activeCell="H12" sqref="A1:H1392"/>
    </sheetView>
  </sheetViews>
  <sheetFormatPr defaultRowHeight="14.25"/>
  <cols>
    <col min="4" max="4" width="15" customWidth="1"/>
    <col min="5" max="5" width="13.75" customWidth="1"/>
    <col min="6" max="6" width="14.875" customWidth="1"/>
    <col min="7" max="7" width="16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</v>
      </c>
      <c r="H1" t="s">
        <v>94</v>
      </c>
    </row>
    <row r="2" spans="1:8">
      <c r="A2" t="s">
        <v>6</v>
      </c>
      <c r="B2" s="1" t="s">
        <v>7</v>
      </c>
      <c r="C2" t="s">
        <v>8</v>
      </c>
      <c r="D2" s="2">
        <v>20542834702</v>
      </c>
      <c r="E2" s="2">
        <v>1126486833</v>
      </c>
      <c r="F2" s="2">
        <v>1240929839</v>
      </c>
      <c r="G2" s="2">
        <f>E2+F2</f>
        <v>2367416672</v>
      </c>
      <c r="H2">
        <f>G2/D2</f>
        <v>0.11524294024375877</v>
      </c>
    </row>
    <row r="3" spans="1:8">
      <c r="A3" t="s">
        <v>6</v>
      </c>
      <c r="B3" s="1" t="s">
        <v>9</v>
      </c>
      <c r="C3" t="s">
        <v>10</v>
      </c>
      <c r="D3" s="2">
        <v>695812140</v>
      </c>
      <c r="E3" s="2">
        <v>96533795</v>
      </c>
      <c r="F3" s="2">
        <v>81327647</v>
      </c>
      <c r="G3" s="2">
        <f t="shared" ref="G3:G66" si="0">E3+F3</f>
        <v>177861442</v>
      </c>
      <c r="H3">
        <f t="shared" ref="H3:H66" si="1">G3/D3</f>
        <v>0.25561704341634511</v>
      </c>
    </row>
    <row r="4" spans="1:8">
      <c r="A4" t="s">
        <v>6</v>
      </c>
      <c r="B4" s="1" t="s">
        <v>11</v>
      </c>
      <c r="C4" t="s">
        <v>12</v>
      </c>
      <c r="D4" s="2">
        <v>167954955</v>
      </c>
      <c r="E4" s="2">
        <v>25730639</v>
      </c>
      <c r="F4" s="2">
        <v>11958923</v>
      </c>
      <c r="G4" s="2">
        <f t="shared" si="0"/>
        <v>37689562</v>
      </c>
      <c r="H4">
        <f t="shared" si="1"/>
        <v>0.22440279895285017</v>
      </c>
    </row>
    <row r="5" spans="1:8">
      <c r="A5" t="s">
        <v>6</v>
      </c>
      <c r="B5" s="1" t="s">
        <v>13</v>
      </c>
      <c r="C5" t="s">
        <v>14</v>
      </c>
      <c r="D5" s="2">
        <v>155951549</v>
      </c>
      <c r="E5" s="2">
        <v>33182090</v>
      </c>
      <c r="F5" s="2">
        <v>22293399</v>
      </c>
      <c r="G5" s="2">
        <f t="shared" si="0"/>
        <v>55475489</v>
      </c>
      <c r="H5">
        <f t="shared" si="1"/>
        <v>0.35572259048225291</v>
      </c>
    </row>
    <row r="6" spans="1:8">
      <c r="A6" t="s">
        <v>6</v>
      </c>
      <c r="B6" s="1" t="s">
        <v>15</v>
      </c>
      <c r="C6" t="s">
        <v>16</v>
      </c>
      <c r="D6" s="2">
        <v>335182778</v>
      </c>
      <c r="E6" s="2">
        <v>34504732</v>
      </c>
      <c r="F6" s="2">
        <v>33507976</v>
      </c>
      <c r="G6" s="2">
        <f t="shared" si="0"/>
        <v>68012708</v>
      </c>
      <c r="H6">
        <f t="shared" si="1"/>
        <v>0.20291229879358538</v>
      </c>
    </row>
    <row r="7" spans="1:8">
      <c r="A7" t="s">
        <v>6</v>
      </c>
      <c r="B7" s="1" t="s">
        <v>17</v>
      </c>
      <c r="C7" t="s">
        <v>18</v>
      </c>
      <c r="D7" s="2">
        <v>113824612</v>
      </c>
      <c r="E7" s="2">
        <v>27314652</v>
      </c>
      <c r="F7" s="2">
        <v>11728292</v>
      </c>
      <c r="G7" s="2">
        <f t="shared" si="0"/>
        <v>39042944</v>
      </c>
      <c r="H7">
        <f t="shared" si="1"/>
        <v>0.34300968229964185</v>
      </c>
    </row>
    <row r="8" spans="1:8">
      <c r="A8" t="s">
        <v>6</v>
      </c>
      <c r="B8" s="1" t="s">
        <v>19</v>
      </c>
      <c r="C8" t="s">
        <v>20</v>
      </c>
      <c r="D8" s="2">
        <v>131492453</v>
      </c>
      <c r="E8" s="2">
        <v>18031663</v>
      </c>
      <c r="F8" s="2">
        <v>14012907</v>
      </c>
      <c r="G8" s="2">
        <f t="shared" si="0"/>
        <v>32044570</v>
      </c>
      <c r="H8">
        <f t="shared" si="1"/>
        <v>0.24369892924577199</v>
      </c>
    </row>
    <row r="9" spans="1:8">
      <c r="A9" t="s">
        <v>6</v>
      </c>
      <c r="B9" s="1" t="s">
        <v>21</v>
      </c>
      <c r="C9" t="s">
        <v>22</v>
      </c>
      <c r="D9" s="2">
        <v>270982365</v>
      </c>
      <c r="E9" s="2">
        <v>78513443</v>
      </c>
      <c r="F9" s="2">
        <v>178642648</v>
      </c>
      <c r="G9" s="2">
        <f t="shared" si="0"/>
        <v>257156091</v>
      </c>
      <c r="H9">
        <f t="shared" si="1"/>
        <v>0.94897721849907102</v>
      </c>
    </row>
    <row r="10" spans="1:8">
      <c r="A10" t="s">
        <v>6</v>
      </c>
      <c r="B10" s="1" t="s">
        <v>23</v>
      </c>
      <c r="C10" t="s">
        <v>24</v>
      </c>
      <c r="D10" s="2">
        <v>411107290</v>
      </c>
      <c r="E10" s="2">
        <v>11698451</v>
      </c>
      <c r="F10" s="2">
        <v>16849751</v>
      </c>
      <c r="G10" s="2">
        <f t="shared" si="0"/>
        <v>28548202</v>
      </c>
      <c r="H10">
        <f t="shared" si="1"/>
        <v>6.9442217869695275E-2</v>
      </c>
    </row>
    <row r="11" spans="1:8">
      <c r="A11" t="s">
        <v>6</v>
      </c>
      <c r="B11" s="1" t="s">
        <v>25</v>
      </c>
      <c r="C11" t="s">
        <v>26</v>
      </c>
      <c r="D11" s="2">
        <v>289130264</v>
      </c>
      <c r="E11" s="2">
        <v>13874524</v>
      </c>
      <c r="F11" s="2">
        <v>11894843</v>
      </c>
      <c r="G11" s="2">
        <f t="shared" si="0"/>
        <v>25769367</v>
      </c>
      <c r="H11">
        <f t="shared" si="1"/>
        <v>8.9127186630314145E-2</v>
      </c>
    </row>
    <row r="12" spans="1:8">
      <c r="A12" t="s">
        <v>6</v>
      </c>
      <c r="B12">
        <v>10000</v>
      </c>
      <c r="C12" t="s">
        <v>27</v>
      </c>
      <c r="D12" s="2">
        <v>275828373</v>
      </c>
      <c r="E12" s="2">
        <v>12919318</v>
      </c>
      <c r="F12" s="2">
        <v>10766193</v>
      </c>
      <c r="G12" s="2">
        <f t="shared" si="0"/>
        <v>23685511</v>
      </c>
      <c r="H12">
        <f t="shared" si="1"/>
        <v>8.5870466269980142E-2</v>
      </c>
    </row>
    <row r="13" spans="1:8">
      <c r="A13" t="s">
        <v>6</v>
      </c>
      <c r="B13">
        <v>11000</v>
      </c>
      <c r="C13" t="s">
        <v>28</v>
      </c>
      <c r="D13" s="2">
        <v>895524715</v>
      </c>
      <c r="E13" s="2">
        <v>9819645</v>
      </c>
      <c r="F13" s="2">
        <v>30075848</v>
      </c>
      <c r="G13" s="2">
        <f t="shared" si="0"/>
        <v>39895493</v>
      </c>
      <c r="H13">
        <f t="shared" si="1"/>
        <v>4.4549851424256895E-2</v>
      </c>
    </row>
    <row r="14" spans="1:8">
      <c r="A14" t="s">
        <v>6</v>
      </c>
      <c r="B14">
        <v>12000</v>
      </c>
      <c r="C14" t="s">
        <v>29</v>
      </c>
      <c r="D14" s="2">
        <v>820359033</v>
      </c>
      <c r="E14" s="2">
        <v>24840787</v>
      </c>
      <c r="F14" s="2">
        <v>43636805</v>
      </c>
      <c r="G14" s="2">
        <f t="shared" si="0"/>
        <v>68477592</v>
      </c>
      <c r="H14">
        <f t="shared" si="1"/>
        <v>8.3472710417513016E-2</v>
      </c>
    </row>
    <row r="15" spans="1:8">
      <c r="A15" t="s">
        <v>6</v>
      </c>
      <c r="B15">
        <v>13000</v>
      </c>
      <c r="C15" t="s">
        <v>30</v>
      </c>
      <c r="D15" s="2">
        <v>5289244641</v>
      </c>
      <c r="E15" s="2">
        <v>42672701</v>
      </c>
      <c r="F15" s="2">
        <v>121370570</v>
      </c>
      <c r="G15" s="2">
        <f t="shared" si="0"/>
        <v>164043271</v>
      </c>
      <c r="H15">
        <f t="shared" si="1"/>
        <v>3.1014498692007089E-2</v>
      </c>
    </row>
    <row r="16" spans="1:8">
      <c r="A16" t="s">
        <v>6</v>
      </c>
      <c r="B16">
        <v>14000</v>
      </c>
      <c r="C16" t="s">
        <v>31</v>
      </c>
      <c r="D16" s="2">
        <v>1295865290</v>
      </c>
      <c r="E16" s="2">
        <v>6406269</v>
      </c>
      <c r="F16" s="2">
        <v>34562440</v>
      </c>
      <c r="G16" s="2">
        <f t="shared" si="0"/>
        <v>40968709</v>
      </c>
      <c r="H16">
        <f t="shared" si="1"/>
        <v>3.1614944328048171E-2</v>
      </c>
    </row>
    <row r="17" spans="1:8">
      <c r="A17" t="s">
        <v>6</v>
      </c>
      <c r="B17">
        <v>15000</v>
      </c>
      <c r="C17" t="s">
        <v>32</v>
      </c>
      <c r="D17" s="2">
        <v>291298597</v>
      </c>
      <c r="E17" s="2">
        <v>39023832</v>
      </c>
      <c r="F17" s="2">
        <v>23349767</v>
      </c>
      <c r="G17" s="2">
        <f t="shared" si="0"/>
        <v>62373599</v>
      </c>
      <c r="H17">
        <f t="shared" si="1"/>
        <v>0.21412255205609521</v>
      </c>
    </row>
    <row r="18" spans="1:8">
      <c r="A18" t="s">
        <v>6</v>
      </c>
      <c r="B18">
        <v>16000</v>
      </c>
      <c r="C18" t="s">
        <v>33</v>
      </c>
      <c r="D18" s="2">
        <v>148625171</v>
      </c>
      <c r="E18" s="2">
        <v>15976951</v>
      </c>
      <c r="F18" s="2">
        <v>10128196</v>
      </c>
      <c r="G18" s="2">
        <f t="shared" si="0"/>
        <v>26105147</v>
      </c>
      <c r="H18">
        <f t="shared" si="1"/>
        <v>0.17564418479289756</v>
      </c>
    </row>
    <row r="19" spans="1:8">
      <c r="A19" t="s">
        <v>6</v>
      </c>
      <c r="B19">
        <v>17000</v>
      </c>
      <c r="C19" t="s">
        <v>34</v>
      </c>
      <c r="D19" s="2">
        <v>163880011</v>
      </c>
      <c r="E19" s="2">
        <v>12079207</v>
      </c>
      <c r="F19" s="2">
        <v>12833898</v>
      </c>
      <c r="G19" s="2">
        <f t="shared" si="0"/>
        <v>24913105</v>
      </c>
      <c r="H19">
        <f t="shared" si="1"/>
        <v>0.15202040107258719</v>
      </c>
    </row>
    <row r="20" spans="1:8">
      <c r="A20" t="s">
        <v>6</v>
      </c>
      <c r="B20">
        <v>18000</v>
      </c>
      <c r="C20" t="s">
        <v>35</v>
      </c>
      <c r="D20" s="2">
        <v>120537658</v>
      </c>
      <c r="E20" s="2">
        <v>14667829</v>
      </c>
      <c r="F20" s="2">
        <v>7767796</v>
      </c>
      <c r="G20" s="2">
        <f t="shared" si="0"/>
        <v>22435625</v>
      </c>
      <c r="H20">
        <f t="shared" si="1"/>
        <v>0.18612959113574282</v>
      </c>
    </row>
    <row r="21" spans="1:8">
      <c r="A21" t="s">
        <v>6</v>
      </c>
      <c r="B21">
        <v>19000</v>
      </c>
      <c r="C21" t="s">
        <v>36</v>
      </c>
      <c r="D21" s="2">
        <v>114451378</v>
      </c>
      <c r="E21" s="2">
        <v>13027482</v>
      </c>
      <c r="F21" s="2">
        <v>6009811</v>
      </c>
      <c r="G21" s="2">
        <f t="shared" si="0"/>
        <v>19037293</v>
      </c>
      <c r="H21">
        <f t="shared" si="1"/>
        <v>0.16633520131142501</v>
      </c>
    </row>
    <row r="22" spans="1:8">
      <c r="A22" t="s">
        <v>6</v>
      </c>
      <c r="B22">
        <v>20000</v>
      </c>
      <c r="C22" t="s">
        <v>37</v>
      </c>
      <c r="D22" s="2">
        <v>274773737</v>
      </c>
      <c r="E22" s="2">
        <v>14943523</v>
      </c>
      <c r="F22" s="2">
        <v>14619806</v>
      </c>
      <c r="G22" s="2">
        <f t="shared" si="0"/>
        <v>29563329</v>
      </c>
      <c r="H22">
        <f t="shared" si="1"/>
        <v>0.10759153812432955</v>
      </c>
    </row>
    <row r="23" spans="1:8">
      <c r="A23" t="s">
        <v>6</v>
      </c>
      <c r="B23">
        <v>21000</v>
      </c>
      <c r="C23" t="s">
        <v>38</v>
      </c>
      <c r="D23" s="2">
        <v>266772434</v>
      </c>
      <c r="E23" s="2">
        <v>21299709</v>
      </c>
      <c r="F23" s="2">
        <v>12876073</v>
      </c>
      <c r="G23" s="2">
        <f t="shared" si="0"/>
        <v>34175782</v>
      </c>
      <c r="H23">
        <f t="shared" si="1"/>
        <v>0.12810837119700305</v>
      </c>
    </row>
    <row r="24" spans="1:8">
      <c r="A24" t="s">
        <v>6</v>
      </c>
      <c r="B24">
        <v>22000</v>
      </c>
      <c r="C24" t="s">
        <v>39</v>
      </c>
      <c r="D24" s="2">
        <v>556619879</v>
      </c>
      <c r="E24" s="2">
        <v>16179269</v>
      </c>
      <c r="F24" s="2">
        <v>19954479</v>
      </c>
      <c r="G24" s="2">
        <f t="shared" si="0"/>
        <v>36133748</v>
      </c>
      <c r="H24">
        <f t="shared" si="1"/>
        <v>6.4916380753264474E-2</v>
      </c>
    </row>
    <row r="25" spans="1:8">
      <c r="A25" t="s">
        <v>6</v>
      </c>
      <c r="B25">
        <v>23000</v>
      </c>
      <c r="C25" t="s">
        <v>40</v>
      </c>
      <c r="D25" s="2">
        <v>1231373367</v>
      </c>
      <c r="E25" s="2">
        <v>24147297</v>
      </c>
      <c r="F25" s="2">
        <v>30598263</v>
      </c>
      <c r="G25" s="2">
        <f t="shared" si="0"/>
        <v>54745560</v>
      </c>
      <c r="H25">
        <f t="shared" si="1"/>
        <v>4.4458944352009845E-2</v>
      </c>
    </row>
    <row r="26" spans="1:8">
      <c r="A26" t="s">
        <v>6</v>
      </c>
      <c r="B26">
        <v>24000</v>
      </c>
      <c r="C26" t="s">
        <v>41</v>
      </c>
      <c r="D26" s="2">
        <v>260275786</v>
      </c>
      <c r="E26" s="2">
        <v>16436265</v>
      </c>
      <c r="F26" s="2">
        <v>12841168</v>
      </c>
      <c r="G26" s="2">
        <f t="shared" si="0"/>
        <v>29277433</v>
      </c>
      <c r="H26">
        <f t="shared" si="1"/>
        <v>0.11248619570012555</v>
      </c>
    </row>
    <row r="27" spans="1:8">
      <c r="A27" t="s">
        <v>6</v>
      </c>
      <c r="B27">
        <v>25000</v>
      </c>
      <c r="C27" t="s">
        <v>42</v>
      </c>
      <c r="D27" s="2">
        <v>190095235</v>
      </c>
      <c r="E27" s="2">
        <v>5562722</v>
      </c>
      <c r="F27" s="2">
        <v>11396268</v>
      </c>
      <c r="G27" s="2">
        <f t="shared" si="0"/>
        <v>16958990</v>
      </c>
      <c r="H27">
        <f t="shared" si="1"/>
        <v>8.9213125200113513E-2</v>
      </c>
    </row>
    <row r="28" spans="1:8">
      <c r="A28" t="s">
        <v>6</v>
      </c>
      <c r="B28">
        <v>26000</v>
      </c>
      <c r="C28" t="s">
        <v>43</v>
      </c>
      <c r="D28" s="2">
        <v>334538245</v>
      </c>
      <c r="E28" s="2">
        <v>12583195</v>
      </c>
      <c r="F28" s="2">
        <v>19378702</v>
      </c>
      <c r="G28" s="2">
        <f t="shared" si="0"/>
        <v>31961897</v>
      </c>
      <c r="H28">
        <f t="shared" si="1"/>
        <v>9.5540337996332825E-2</v>
      </c>
    </row>
    <row r="29" spans="1:8">
      <c r="A29" t="s">
        <v>6</v>
      </c>
      <c r="B29">
        <v>27000</v>
      </c>
      <c r="C29" t="s">
        <v>44</v>
      </c>
      <c r="D29" s="2">
        <v>1328869569</v>
      </c>
      <c r="E29" s="2">
        <v>12587937</v>
      </c>
      <c r="F29" s="2">
        <v>42883258</v>
      </c>
      <c r="G29" s="2">
        <f t="shared" si="0"/>
        <v>55471195</v>
      </c>
      <c r="H29">
        <f t="shared" si="1"/>
        <v>4.174314492109496E-2</v>
      </c>
    </row>
    <row r="30" spans="1:8">
      <c r="A30" t="s">
        <v>6</v>
      </c>
      <c r="B30">
        <v>28000</v>
      </c>
      <c r="C30" t="s">
        <v>45</v>
      </c>
      <c r="D30" s="2">
        <v>723040976</v>
      </c>
      <c r="E30" s="2">
        <v>25422007</v>
      </c>
      <c r="F30" s="2">
        <v>30127812</v>
      </c>
      <c r="G30" s="2">
        <f t="shared" si="0"/>
        <v>55549819</v>
      </c>
      <c r="H30">
        <f t="shared" si="1"/>
        <v>7.6828037198268001E-2</v>
      </c>
    </row>
    <row r="31" spans="1:8">
      <c r="A31" t="s">
        <v>6</v>
      </c>
      <c r="B31">
        <v>29000</v>
      </c>
      <c r="C31" t="s">
        <v>46</v>
      </c>
      <c r="D31" s="2">
        <v>146746601</v>
      </c>
      <c r="E31" s="2">
        <v>15058172</v>
      </c>
      <c r="F31" s="2">
        <v>8034503</v>
      </c>
      <c r="G31" s="2">
        <f t="shared" si="0"/>
        <v>23092675</v>
      </c>
      <c r="H31">
        <f t="shared" si="1"/>
        <v>0.15736429220599119</v>
      </c>
    </row>
    <row r="32" spans="1:8">
      <c r="A32" t="s">
        <v>6</v>
      </c>
      <c r="B32">
        <v>30000</v>
      </c>
      <c r="C32" t="s">
        <v>47</v>
      </c>
      <c r="D32" s="2">
        <v>108128102</v>
      </c>
      <c r="E32" s="2">
        <v>15363257</v>
      </c>
      <c r="F32" s="2">
        <v>10392913</v>
      </c>
      <c r="G32" s="2">
        <f t="shared" si="0"/>
        <v>25756170</v>
      </c>
      <c r="H32">
        <f t="shared" si="1"/>
        <v>0.23820051886233978</v>
      </c>
    </row>
    <row r="33" spans="1:8">
      <c r="A33" t="s">
        <v>6</v>
      </c>
      <c r="B33">
        <v>31000</v>
      </c>
      <c r="C33" t="s">
        <v>48</v>
      </c>
      <c r="D33" s="2">
        <v>66401665</v>
      </c>
      <c r="E33" s="2">
        <v>11466501</v>
      </c>
      <c r="F33" s="2">
        <v>9579301</v>
      </c>
      <c r="G33" s="2">
        <f t="shared" si="0"/>
        <v>21045802</v>
      </c>
      <c r="H33">
        <f t="shared" si="1"/>
        <v>0.31694690185856034</v>
      </c>
    </row>
    <row r="34" spans="1:8">
      <c r="A34" t="s">
        <v>6</v>
      </c>
      <c r="B34">
        <v>32000</v>
      </c>
      <c r="C34" t="s">
        <v>49</v>
      </c>
      <c r="D34" s="2">
        <v>80604106</v>
      </c>
      <c r="E34" s="2">
        <v>14433858</v>
      </c>
      <c r="F34" s="2">
        <v>11206864</v>
      </c>
      <c r="G34" s="2">
        <f t="shared" si="0"/>
        <v>25640722</v>
      </c>
      <c r="H34">
        <f t="shared" si="1"/>
        <v>0.31810689644023843</v>
      </c>
    </row>
    <row r="35" spans="1:8">
      <c r="A35" t="s">
        <v>6</v>
      </c>
      <c r="B35">
        <v>33000</v>
      </c>
      <c r="C35" t="s">
        <v>50</v>
      </c>
      <c r="D35" s="2">
        <v>251618522</v>
      </c>
      <c r="E35" s="2">
        <v>11396657</v>
      </c>
      <c r="F35" s="2">
        <v>13840183</v>
      </c>
      <c r="G35" s="2">
        <f t="shared" si="0"/>
        <v>25236840</v>
      </c>
      <c r="H35">
        <f t="shared" si="1"/>
        <v>0.10029802178076541</v>
      </c>
    </row>
    <row r="36" spans="1:8">
      <c r="A36" t="s">
        <v>6</v>
      </c>
      <c r="B36">
        <v>34000</v>
      </c>
      <c r="C36" t="s">
        <v>51</v>
      </c>
      <c r="D36" s="2">
        <v>386249528</v>
      </c>
      <c r="E36" s="2">
        <v>9277475</v>
      </c>
      <c r="F36" s="2">
        <v>28275218</v>
      </c>
      <c r="G36" s="2">
        <f t="shared" si="0"/>
        <v>37552693</v>
      </c>
      <c r="H36">
        <f t="shared" si="1"/>
        <v>9.722391945550804E-2</v>
      </c>
    </row>
    <row r="37" spans="1:8">
      <c r="A37" t="s">
        <v>6</v>
      </c>
      <c r="B37">
        <v>35000</v>
      </c>
      <c r="C37" t="s">
        <v>52</v>
      </c>
      <c r="D37" s="2">
        <v>180715192</v>
      </c>
      <c r="E37" s="2">
        <v>12009016</v>
      </c>
      <c r="F37" s="2">
        <v>19368737</v>
      </c>
      <c r="G37" s="2">
        <f t="shared" si="0"/>
        <v>31377753</v>
      </c>
      <c r="H37">
        <f t="shared" si="1"/>
        <v>0.1736309640198927</v>
      </c>
    </row>
    <row r="38" spans="1:8">
      <c r="A38" t="s">
        <v>6</v>
      </c>
      <c r="B38">
        <v>36000</v>
      </c>
      <c r="C38" t="s">
        <v>53</v>
      </c>
      <c r="D38" s="2">
        <v>92577230</v>
      </c>
      <c r="E38" s="2">
        <v>9975876</v>
      </c>
      <c r="F38" s="2">
        <v>7987103</v>
      </c>
      <c r="G38" s="2">
        <f t="shared" si="0"/>
        <v>17962979</v>
      </c>
      <c r="H38">
        <f t="shared" si="1"/>
        <v>0.19403236627408274</v>
      </c>
    </row>
    <row r="39" spans="1:8">
      <c r="A39" t="s">
        <v>6</v>
      </c>
      <c r="B39">
        <v>37000</v>
      </c>
      <c r="C39" t="s">
        <v>54</v>
      </c>
      <c r="D39" s="2">
        <v>135107965</v>
      </c>
      <c r="E39" s="2">
        <v>9416612</v>
      </c>
      <c r="F39" s="2">
        <v>8884539</v>
      </c>
      <c r="G39" s="2">
        <f t="shared" si="0"/>
        <v>18301151</v>
      </c>
      <c r="H39">
        <f t="shared" si="1"/>
        <v>0.13545575199804097</v>
      </c>
    </row>
    <row r="40" spans="1:8">
      <c r="A40" t="s">
        <v>6</v>
      </c>
      <c r="B40">
        <v>38000</v>
      </c>
      <c r="C40" t="s">
        <v>55</v>
      </c>
      <c r="D40" s="2">
        <v>166509638</v>
      </c>
      <c r="E40" s="2">
        <v>13178070</v>
      </c>
      <c r="F40" s="2">
        <v>10783142</v>
      </c>
      <c r="G40" s="2">
        <f t="shared" si="0"/>
        <v>23961212</v>
      </c>
      <c r="H40">
        <f t="shared" si="1"/>
        <v>0.14390285323904192</v>
      </c>
    </row>
    <row r="41" spans="1:8">
      <c r="A41" t="s">
        <v>6</v>
      </c>
      <c r="B41">
        <v>39000</v>
      </c>
      <c r="C41" t="s">
        <v>56</v>
      </c>
      <c r="D41" s="2">
        <v>79904593</v>
      </c>
      <c r="E41" s="2">
        <v>12983918</v>
      </c>
      <c r="F41" s="2">
        <v>8779427</v>
      </c>
      <c r="G41" s="2">
        <f t="shared" si="0"/>
        <v>21763345</v>
      </c>
      <c r="H41">
        <f t="shared" si="1"/>
        <v>0.27236663354257995</v>
      </c>
    </row>
    <row r="42" spans="1:8">
      <c r="A42" t="s">
        <v>6</v>
      </c>
      <c r="B42">
        <v>40000</v>
      </c>
      <c r="C42" t="s">
        <v>57</v>
      </c>
      <c r="D42" s="2">
        <v>660081826</v>
      </c>
      <c r="E42" s="2">
        <v>29786655</v>
      </c>
      <c r="F42" s="2">
        <v>38686893</v>
      </c>
      <c r="G42" s="2">
        <f t="shared" si="0"/>
        <v>68473548</v>
      </c>
      <c r="H42">
        <f t="shared" si="1"/>
        <v>0.10373493906799366</v>
      </c>
    </row>
    <row r="43" spans="1:8">
      <c r="A43" t="s">
        <v>6</v>
      </c>
      <c r="B43">
        <v>41000</v>
      </c>
      <c r="C43" t="s">
        <v>58</v>
      </c>
      <c r="D43" s="2">
        <v>100802437</v>
      </c>
      <c r="E43" s="2">
        <v>16915000</v>
      </c>
      <c r="F43" s="2">
        <v>6697126</v>
      </c>
      <c r="G43" s="2">
        <f t="shared" si="0"/>
        <v>23612126</v>
      </c>
      <c r="H43">
        <f t="shared" si="1"/>
        <v>0.23424161858309039</v>
      </c>
    </row>
    <row r="44" spans="1:8">
      <c r="A44" t="s">
        <v>6</v>
      </c>
      <c r="B44">
        <v>42000</v>
      </c>
      <c r="C44" t="s">
        <v>59</v>
      </c>
      <c r="D44" s="2">
        <v>142807843</v>
      </c>
      <c r="E44" s="2">
        <v>30640684</v>
      </c>
      <c r="F44" s="2">
        <v>23453302</v>
      </c>
      <c r="G44" s="2">
        <f t="shared" si="0"/>
        <v>54093986</v>
      </c>
      <c r="H44">
        <f t="shared" si="1"/>
        <v>0.37878862157451676</v>
      </c>
    </row>
    <row r="45" spans="1:8">
      <c r="A45" t="s">
        <v>6</v>
      </c>
      <c r="B45">
        <v>43000</v>
      </c>
      <c r="C45" t="s">
        <v>60</v>
      </c>
      <c r="D45" s="2">
        <v>201888053</v>
      </c>
      <c r="E45" s="2">
        <v>40069513</v>
      </c>
      <c r="F45" s="2">
        <v>42916820</v>
      </c>
      <c r="G45" s="2">
        <f t="shared" si="0"/>
        <v>82986333</v>
      </c>
      <c r="H45">
        <f t="shared" si="1"/>
        <v>0.41105123243721609</v>
      </c>
    </row>
    <row r="46" spans="1:8">
      <c r="A46" t="s">
        <v>6</v>
      </c>
      <c r="B46">
        <v>44000</v>
      </c>
      <c r="C46" t="s">
        <v>61</v>
      </c>
      <c r="D46" s="2">
        <v>137654929</v>
      </c>
      <c r="E46" s="2">
        <v>23297100</v>
      </c>
      <c r="F46" s="2">
        <v>10620278</v>
      </c>
      <c r="G46" s="2">
        <f t="shared" si="0"/>
        <v>33917378</v>
      </c>
      <c r="H46">
        <f t="shared" si="1"/>
        <v>0.2463942137516921</v>
      </c>
    </row>
    <row r="47" spans="1:8">
      <c r="A47" t="s">
        <v>6</v>
      </c>
      <c r="B47">
        <v>45000</v>
      </c>
      <c r="C47" t="s">
        <v>62</v>
      </c>
      <c r="D47" s="2">
        <v>123635388</v>
      </c>
      <c r="E47" s="2">
        <v>32627383</v>
      </c>
      <c r="F47" s="2">
        <v>13755437</v>
      </c>
      <c r="G47" s="2">
        <f t="shared" si="0"/>
        <v>46382820</v>
      </c>
      <c r="H47">
        <f t="shared" si="1"/>
        <v>0.37515812220365258</v>
      </c>
    </row>
    <row r="48" spans="1:8">
      <c r="A48" t="s">
        <v>6</v>
      </c>
      <c r="B48">
        <v>46000</v>
      </c>
      <c r="C48" t="s">
        <v>63</v>
      </c>
      <c r="D48" s="2">
        <v>180084010</v>
      </c>
      <c r="E48" s="2">
        <v>43485932</v>
      </c>
      <c r="F48" s="2">
        <v>26264075</v>
      </c>
      <c r="G48" s="2">
        <f t="shared" si="0"/>
        <v>69750007</v>
      </c>
      <c r="H48">
        <f t="shared" si="1"/>
        <v>0.38731926837924147</v>
      </c>
    </row>
    <row r="49" spans="1:8">
      <c r="A49" t="s">
        <v>6</v>
      </c>
      <c r="B49">
        <v>47000</v>
      </c>
      <c r="C49" t="s">
        <v>64</v>
      </c>
      <c r="D49" s="2">
        <v>147904573</v>
      </c>
      <c r="E49" s="2">
        <v>95125220</v>
      </c>
      <c r="F49" s="2">
        <v>64010439</v>
      </c>
      <c r="G49" s="2">
        <f t="shared" si="0"/>
        <v>159135659</v>
      </c>
      <c r="H49">
        <f t="shared" si="1"/>
        <v>1.0759346771515983</v>
      </c>
    </row>
    <row r="50" spans="1:8">
      <c r="A50" t="s">
        <v>65</v>
      </c>
      <c r="B50" s="1" t="s">
        <v>7</v>
      </c>
      <c r="C50" t="s">
        <v>8</v>
      </c>
      <c r="D50" s="2">
        <v>20251648349</v>
      </c>
      <c r="E50" s="2">
        <v>1028234054</v>
      </c>
      <c r="F50" s="2">
        <v>1511960607</v>
      </c>
      <c r="G50" s="2">
        <f t="shared" si="0"/>
        <v>2540194661</v>
      </c>
      <c r="H50">
        <f t="shared" si="1"/>
        <v>0.12543150153629007</v>
      </c>
    </row>
    <row r="51" spans="1:8">
      <c r="A51" t="s">
        <v>65</v>
      </c>
      <c r="B51" s="1" t="s">
        <v>9</v>
      </c>
      <c r="C51" t="s">
        <v>10</v>
      </c>
      <c r="D51" s="2">
        <v>673443533</v>
      </c>
      <c r="E51" s="2">
        <v>99428148</v>
      </c>
      <c r="F51" s="2">
        <v>56719322</v>
      </c>
      <c r="G51" s="2">
        <f t="shared" si="0"/>
        <v>156147470</v>
      </c>
      <c r="H51">
        <f t="shared" si="1"/>
        <v>0.23186423560176944</v>
      </c>
    </row>
    <row r="52" spans="1:8">
      <c r="A52" t="s">
        <v>65</v>
      </c>
      <c r="B52" s="1" t="s">
        <v>11</v>
      </c>
      <c r="C52" t="s">
        <v>12</v>
      </c>
      <c r="D52" s="2">
        <v>163274936</v>
      </c>
      <c r="E52" s="2">
        <v>24554038</v>
      </c>
      <c r="F52" s="2">
        <v>11325300</v>
      </c>
      <c r="G52" s="2">
        <f t="shared" si="0"/>
        <v>35879338</v>
      </c>
      <c r="H52">
        <f t="shared" si="1"/>
        <v>0.21974798385466829</v>
      </c>
    </row>
    <row r="53" spans="1:8">
      <c r="A53" t="s">
        <v>65</v>
      </c>
      <c r="B53" s="1" t="s">
        <v>13</v>
      </c>
      <c r="C53" t="s">
        <v>14</v>
      </c>
      <c r="D53" s="2">
        <v>153981316</v>
      </c>
      <c r="E53" s="2">
        <v>23484458</v>
      </c>
      <c r="F53" s="2">
        <v>24422257</v>
      </c>
      <c r="G53" s="2">
        <f t="shared" si="0"/>
        <v>47906715</v>
      </c>
      <c r="H53">
        <f t="shared" si="1"/>
        <v>0.31112031150584529</v>
      </c>
    </row>
    <row r="54" spans="1:8">
      <c r="A54" t="s">
        <v>65</v>
      </c>
      <c r="B54" s="1" t="s">
        <v>15</v>
      </c>
      <c r="C54" t="s">
        <v>16</v>
      </c>
      <c r="D54" s="2">
        <v>331181067</v>
      </c>
      <c r="E54" s="2">
        <v>27695396</v>
      </c>
      <c r="F54" s="2">
        <v>40555341</v>
      </c>
      <c r="G54" s="2">
        <f t="shared" si="0"/>
        <v>68250737</v>
      </c>
      <c r="H54">
        <f t="shared" si="1"/>
        <v>0.20608284651731013</v>
      </c>
    </row>
    <row r="55" spans="1:8">
      <c r="A55" t="s">
        <v>65</v>
      </c>
      <c r="B55" s="1" t="s">
        <v>17</v>
      </c>
      <c r="C55" t="s">
        <v>18</v>
      </c>
      <c r="D55" s="2">
        <v>111598946</v>
      </c>
      <c r="E55" s="2">
        <v>20029401</v>
      </c>
      <c r="F55" s="2">
        <v>13524639</v>
      </c>
      <c r="G55" s="2">
        <f t="shared" si="0"/>
        <v>33554040</v>
      </c>
      <c r="H55">
        <f t="shared" si="1"/>
        <v>0.30066628048619742</v>
      </c>
    </row>
    <row r="56" spans="1:8">
      <c r="A56" t="s">
        <v>65</v>
      </c>
      <c r="B56" s="1" t="s">
        <v>19</v>
      </c>
      <c r="C56" t="s">
        <v>20</v>
      </c>
      <c r="D56" s="2">
        <v>126637674</v>
      </c>
      <c r="E56" s="2">
        <v>15237284</v>
      </c>
      <c r="F56" s="2">
        <v>14105153</v>
      </c>
      <c r="G56" s="2">
        <f t="shared" si="0"/>
        <v>29342437</v>
      </c>
      <c r="H56">
        <f t="shared" si="1"/>
        <v>0.23170385299401502</v>
      </c>
    </row>
    <row r="57" spans="1:8">
      <c r="A57" t="s">
        <v>65</v>
      </c>
      <c r="B57" s="1" t="s">
        <v>21</v>
      </c>
      <c r="C57" t="s">
        <v>22</v>
      </c>
      <c r="D57" s="2">
        <v>265779063</v>
      </c>
      <c r="E57" s="2">
        <v>60259733</v>
      </c>
      <c r="F57" s="2">
        <v>468580725</v>
      </c>
      <c r="G57" s="2">
        <f t="shared" si="0"/>
        <v>528840458</v>
      </c>
      <c r="H57">
        <f t="shared" si="1"/>
        <v>1.9897747099815759</v>
      </c>
    </row>
    <row r="58" spans="1:8">
      <c r="A58" t="s">
        <v>65</v>
      </c>
      <c r="B58" s="1" t="s">
        <v>23</v>
      </c>
      <c r="C58" t="s">
        <v>24</v>
      </c>
      <c r="D58" s="2">
        <v>394527466</v>
      </c>
      <c r="E58" s="2">
        <v>10501005</v>
      </c>
      <c r="F58" s="2">
        <v>18420465</v>
      </c>
      <c r="G58" s="2">
        <f t="shared" si="0"/>
        <v>28921470</v>
      </c>
      <c r="H58">
        <f t="shared" si="1"/>
        <v>7.3306607251521494E-2</v>
      </c>
    </row>
    <row r="59" spans="1:8">
      <c r="A59" t="s">
        <v>65</v>
      </c>
      <c r="B59" s="1" t="s">
        <v>25</v>
      </c>
      <c r="C59" t="s">
        <v>26</v>
      </c>
      <c r="D59" s="2">
        <v>279018735</v>
      </c>
      <c r="E59" s="2">
        <v>12949129</v>
      </c>
      <c r="F59" s="2">
        <v>12254390</v>
      </c>
      <c r="G59" s="2">
        <f t="shared" si="0"/>
        <v>25203519</v>
      </c>
      <c r="H59">
        <f t="shared" si="1"/>
        <v>9.0329127898884642E-2</v>
      </c>
    </row>
    <row r="60" spans="1:8">
      <c r="A60" t="s">
        <v>65</v>
      </c>
      <c r="B60">
        <v>10000</v>
      </c>
      <c r="C60" t="s">
        <v>27</v>
      </c>
      <c r="D60" s="2">
        <v>281001447</v>
      </c>
      <c r="E60" s="2">
        <v>12692015</v>
      </c>
      <c r="F60" s="2">
        <v>10379435</v>
      </c>
      <c r="G60" s="2">
        <f t="shared" si="0"/>
        <v>23071450</v>
      </c>
      <c r="H60">
        <f t="shared" si="1"/>
        <v>8.2104381476725996E-2</v>
      </c>
    </row>
    <row r="61" spans="1:8">
      <c r="A61" t="s">
        <v>65</v>
      </c>
      <c r="B61">
        <v>11000</v>
      </c>
      <c r="C61" t="s">
        <v>28</v>
      </c>
      <c r="D61" s="2">
        <v>864864928</v>
      </c>
      <c r="E61" s="2">
        <v>8744661</v>
      </c>
      <c r="F61" s="2">
        <v>26412853</v>
      </c>
      <c r="G61" s="2">
        <f t="shared" si="0"/>
        <v>35157514</v>
      </c>
      <c r="H61">
        <f t="shared" si="1"/>
        <v>4.0650872594986301E-2</v>
      </c>
    </row>
    <row r="62" spans="1:8">
      <c r="A62" t="s">
        <v>65</v>
      </c>
      <c r="B62">
        <v>12000</v>
      </c>
      <c r="C62" t="s">
        <v>29</v>
      </c>
      <c r="D62" s="2">
        <v>788576149</v>
      </c>
      <c r="E62" s="2">
        <v>23148681</v>
      </c>
      <c r="F62" s="2">
        <v>38483286</v>
      </c>
      <c r="G62" s="2">
        <f t="shared" si="0"/>
        <v>61631967</v>
      </c>
      <c r="H62">
        <f t="shared" si="1"/>
        <v>7.8156012045451806E-2</v>
      </c>
    </row>
    <row r="63" spans="1:8">
      <c r="A63" t="s">
        <v>65</v>
      </c>
      <c r="B63">
        <v>13000</v>
      </c>
      <c r="C63" t="s">
        <v>30</v>
      </c>
      <c r="D63" s="2">
        <v>5317961378</v>
      </c>
      <c r="E63" s="2">
        <v>47790495</v>
      </c>
      <c r="F63" s="2">
        <v>78158399</v>
      </c>
      <c r="G63" s="2">
        <f t="shared" si="0"/>
        <v>125948894</v>
      </c>
      <c r="H63">
        <f t="shared" si="1"/>
        <v>2.3683679712500537E-2</v>
      </c>
    </row>
    <row r="64" spans="1:8">
      <c r="A64" t="s">
        <v>65</v>
      </c>
      <c r="B64">
        <v>14000</v>
      </c>
      <c r="C64" t="s">
        <v>31</v>
      </c>
      <c r="D64" s="2">
        <v>1250484759</v>
      </c>
      <c r="E64" s="2">
        <v>4288453</v>
      </c>
      <c r="F64" s="2">
        <v>27642548</v>
      </c>
      <c r="G64" s="2">
        <f t="shared" si="0"/>
        <v>31931001</v>
      </c>
      <c r="H64">
        <f t="shared" si="1"/>
        <v>2.5534898182633509E-2</v>
      </c>
    </row>
    <row r="65" spans="1:8">
      <c r="A65" t="s">
        <v>65</v>
      </c>
      <c r="B65">
        <v>15000</v>
      </c>
      <c r="C65" t="s">
        <v>32</v>
      </c>
      <c r="D65" s="2">
        <v>289349120</v>
      </c>
      <c r="E65" s="2">
        <v>36751118</v>
      </c>
      <c r="F65" s="2">
        <v>20851741</v>
      </c>
      <c r="G65" s="2">
        <f t="shared" si="0"/>
        <v>57602859</v>
      </c>
      <c r="H65">
        <f t="shared" si="1"/>
        <v>0.19907736024909978</v>
      </c>
    </row>
    <row r="66" spans="1:8">
      <c r="A66" t="s">
        <v>65</v>
      </c>
      <c r="B66">
        <v>16000</v>
      </c>
      <c r="C66" t="s">
        <v>33</v>
      </c>
      <c r="D66" s="2">
        <v>146579698</v>
      </c>
      <c r="E66" s="2">
        <v>14502375</v>
      </c>
      <c r="F66" s="2">
        <v>8902929</v>
      </c>
      <c r="G66" s="2">
        <f t="shared" si="0"/>
        <v>23405304</v>
      </c>
      <c r="H66">
        <f t="shared" si="1"/>
        <v>0.15967630114778925</v>
      </c>
    </row>
    <row r="67" spans="1:8">
      <c r="A67" t="s">
        <v>65</v>
      </c>
      <c r="B67">
        <v>17000</v>
      </c>
      <c r="C67" t="s">
        <v>34</v>
      </c>
      <c r="D67" s="2">
        <v>162424683</v>
      </c>
      <c r="E67" s="2">
        <v>6663273</v>
      </c>
      <c r="F67" s="2">
        <v>12325875</v>
      </c>
      <c r="G67" s="2">
        <f t="shared" ref="G67:G130" si="2">E67+F67</f>
        <v>18989148</v>
      </c>
      <c r="H67">
        <f t="shared" ref="H67:H130" si="3">G67/D67</f>
        <v>0.11691048213404856</v>
      </c>
    </row>
    <row r="68" spans="1:8">
      <c r="A68" t="s">
        <v>65</v>
      </c>
      <c r="B68">
        <v>18000</v>
      </c>
      <c r="C68" t="s">
        <v>35</v>
      </c>
      <c r="D68" s="2">
        <v>118724213</v>
      </c>
      <c r="E68" s="2">
        <v>12975532</v>
      </c>
      <c r="F68" s="2">
        <v>8730884</v>
      </c>
      <c r="G68" s="2">
        <f t="shared" si="2"/>
        <v>21706416</v>
      </c>
      <c r="H68">
        <f t="shared" si="3"/>
        <v>0.18283057391165861</v>
      </c>
    </row>
    <row r="69" spans="1:8">
      <c r="A69" t="s">
        <v>65</v>
      </c>
      <c r="B69">
        <v>19000</v>
      </c>
      <c r="C69" t="s">
        <v>36</v>
      </c>
      <c r="D69" s="2">
        <v>112700056</v>
      </c>
      <c r="E69" s="2">
        <v>11468207</v>
      </c>
      <c r="F69" s="2">
        <v>5452409</v>
      </c>
      <c r="G69" s="2">
        <f t="shared" si="2"/>
        <v>16920616</v>
      </c>
      <c r="H69">
        <f t="shared" si="3"/>
        <v>0.15013848795248158</v>
      </c>
    </row>
    <row r="70" spans="1:8">
      <c r="A70" t="s">
        <v>65</v>
      </c>
      <c r="B70">
        <v>20000</v>
      </c>
      <c r="C70" t="s">
        <v>37</v>
      </c>
      <c r="D70" s="2">
        <v>270140307</v>
      </c>
      <c r="E70" s="2">
        <v>15472052</v>
      </c>
      <c r="F70" s="2">
        <v>14087399</v>
      </c>
      <c r="G70" s="2">
        <f t="shared" si="2"/>
        <v>29559451</v>
      </c>
      <c r="H70">
        <f t="shared" si="3"/>
        <v>0.10942258609338147</v>
      </c>
    </row>
    <row r="71" spans="1:8">
      <c r="A71" t="s">
        <v>65</v>
      </c>
      <c r="B71">
        <v>21000</v>
      </c>
      <c r="C71" t="s">
        <v>38</v>
      </c>
      <c r="D71" s="2">
        <v>263523097</v>
      </c>
      <c r="E71" s="2">
        <v>17387110</v>
      </c>
      <c r="F71" s="2">
        <v>17041844</v>
      </c>
      <c r="G71" s="2">
        <f t="shared" si="2"/>
        <v>34428954</v>
      </c>
      <c r="H71">
        <f t="shared" si="3"/>
        <v>0.13064871501567091</v>
      </c>
    </row>
    <row r="72" spans="1:8">
      <c r="A72" t="s">
        <v>65</v>
      </c>
      <c r="B72">
        <v>22000</v>
      </c>
      <c r="C72" t="s">
        <v>39</v>
      </c>
      <c r="D72" s="2">
        <v>541659744</v>
      </c>
      <c r="E72" s="2">
        <v>16945972</v>
      </c>
      <c r="F72" s="2">
        <v>20952653</v>
      </c>
      <c r="G72" s="2">
        <f t="shared" si="2"/>
        <v>37898625</v>
      </c>
      <c r="H72">
        <f t="shared" si="3"/>
        <v>6.9967586514976463E-2</v>
      </c>
    </row>
    <row r="73" spans="1:8">
      <c r="A73" t="s">
        <v>65</v>
      </c>
      <c r="B73">
        <v>23000</v>
      </c>
      <c r="C73" t="s">
        <v>40</v>
      </c>
      <c r="D73" s="2">
        <v>1274404737</v>
      </c>
      <c r="E73" s="2">
        <v>19129687</v>
      </c>
      <c r="F73" s="2">
        <v>26159000</v>
      </c>
      <c r="G73" s="2">
        <f t="shared" si="2"/>
        <v>45288687</v>
      </c>
      <c r="H73">
        <f t="shared" si="3"/>
        <v>3.5537130148002583E-2</v>
      </c>
    </row>
    <row r="74" spans="1:8">
      <c r="A74" t="s">
        <v>65</v>
      </c>
      <c r="B74">
        <v>24000</v>
      </c>
      <c r="C74" t="s">
        <v>41</v>
      </c>
      <c r="D74" s="2">
        <v>252619230</v>
      </c>
      <c r="E74" s="2">
        <v>12631804</v>
      </c>
      <c r="F74" s="2">
        <v>13123959</v>
      </c>
      <c r="G74" s="2">
        <f t="shared" si="2"/>
        <v>25755763</v>
      </c>
      <c r="H74">
        <f t="shared" si="3"/>
        <v>0.10195487889025709</v>
      </c>
    </row>
    <row r="75" spans="1:8">
      <c r="A75" t="s">
        <v>65</v>
      </c>
      <c r="B75">
        <v>25000</v>
      </c>
      <c r="C75" t="s">
        <v>42</v>
      </c>
      <c r="D75" s="2">
        <v>182942137</v>
      </c>
      <c r="E75" s="2">
        <v>5683146</v>
      </c>
      <c r="F75" s="2">
        <v>11006907</v>
      </c>
      <c r="G75" s="2">
        <f t="shared" si="2"/>
        <v>16690053</v>
      </c>
      <c r="H75">
        <f t="shared" si="3"/>
        <v>9.1231321956187716E-2</v>
      </c>
    </row>
    <row r="76" spans="1:8">
      <c r="A76" t="s">
        <v>65</v>
      </c>
      <c r="B76">
        <v>26000</v>
      </c>
      <c r="C76" t="s">
        <v>43</v>
      </c>
      <c r="D76" s="2">
        <v>327979299</v>
      </c>
      <c r="E76" s="2">
        <v>16329876</v>
      </c>
      <c r="F76" s="2">
        <v>17732959</v>
      </c>
      <c r="G76" s="2">
        <f t="shared" si="2"/>
        <v>34062835</v>
      </c>
      <c r="H76">
        <f t="shared" si="3"/>
        <v>0.10385666139252282</v>
      </c>
    </row>
    <row r="77" spans="1:8">
      <c r="A77" t="s">
        <v>65</v>
      </c>
      <c r="B77">
        <v>27000</v>
      </c>
      <c r="C77" t="s">
        <v>44</v>
      </c>
      <c r="D77" s="2">
        <v>1299187863</v>
      </c>
      <c r="E77" s="2">
        <v>17365943</v>
      </c>
      <c r="F77" s="2">
        <v>54686043</v>
      </c>
      <c r="G77" s="2">
        <f t="shared" si="2"/>
        <v>72051986</v>
      </c>
      <c r="H77">
        <f t="shared" si="3"/>
        <v>5.5459251161431147E-2</v>
      </c>
    </row>
    <row r="78" spans="1:8">
      <c r="A78" t="s">
        <v>65</v>
      </c>
      <c r="B78">
        <v>28000</v>
      </c>
      <c r="C78" t="s">
        <v>45</v>
      </c>
      <c r="D78" s="2">
        <v>707740537</v>
      </c>
      <c r="E78" s="2">
        <v>24135538</v>
      </c>
      <c r="F78" s="2">
        <v>26227977</v>
      </c>
      <c r="G78" s="2">
        <f t="shared" si="2"/>
        <v>50363515</v>
      </c>
      <c r="H78">
        <f t="shared" si="3"/>
        <v>7.1160986784059257E-2</v>
      </c>
    </row>
    <row r="79" spans="1:8">
      <c r="A79" t="s">
        <v>65</v>
      </c>
      <c r="B79">
        <v>29000</v>
      </c>
      <c r="C79" t="s">
        <v>46</v>
      </c>
      <c r="D79" s="2">
        <v>141689963</v>
      </c>
      <c r="E79" s="2">
        <v>14878213</v>
      </c>
      <c r="F79" s="2">
        <v>7429283</v>
      </c>
      <c r="G79" s="2">
        <f t="shared" si="2"/>
        <v>22307496</v>
      </c>
      <c r="H79">
        <f t="shared" si="3"/>
        <v>0.15743878767192565</v>
      </c>
    </row>
    <row r="80" spans="1:8">
      <c r="A80" t="s">
        <v>65</v>
      </c>
      <c r="B80">
        <v>30000</v>
      </c>
      <c r="C80" t="s">
        <v>47</v>
      </c>
      <c r="D80" s="2">
        <v>103625983</v>
      </c>
      <c r="E80" s="2">
        <v>13031262</v>
      </c>
      <c r="F80" s="2">
        <v>8522830</v>
      </c>
      <c r="G80" s="2">
        <f t="shared" si="2"/>
        <v>21554092</v>
      </c>
      <c r="H80">
        <f t="shared" si="3"/>
        <v>0.20799891471234583</v>
      </c>
    </row>
    <row r="81" spans="1:8">
      <c r="A81" t="s">
        <v>65</v>
      </c>
      <c r="B81">
        <v>31000</v>
      </c>
      <c r="C81" t="s">
        <v>48</v>
      </c>
      <c r="D81" s="2">
        <v>63770491</v>
      </c>
      <c r="E81" s="2">
        <v>7081395</v>
      </c>
      <c r="F81" s="2">
        <v>10892603</v>
      </c>
      <c r="G81" s="2">
        <f t="shared" si="2"/>
        <v>17973998</v>
      </c>
      <c r="H81">
        <f t="shared" si="3"/>
        <v>0.28185447090253701</v>
      </c>
    </row>
    <row r="82" spans="1:8">
      <c r="A82" t="s">
        <v>65</v>
      </c>
      <c r="B82">
        <v>32000</v>
      </c>
      <c r="C82" t="s">
        <v>49</v>
      </c>
      <c r="D82" s="2">
        <v>79113551</v>
      </c>
      <c r="E82" s="2">
        <v>15952930</v>
      </c>
      <c r="F82" s="2">
        <v>9212918</v>
      </c>
      <c r="G82" s="2">
        <f t="shared" si="2"/>
        <v>25165848</v>
      </c>
      <c r="H82">
        <f t="shared" si="3"/>
        <v>0.31809781866573023</v>
      </c>
    </row>
    <row r="83" spans="1:8">
      <c r="A83" t="s">
        <v>65</v>
      </c>
      <c r="B83">
        <v>33000</v>
      </c>
      <c r="C83" t="s">
        <v>50</v>
      </c>
      <c r="D83" s="2">
        <v>243243057</v>
      </c>
      <c r="E83" s="2">
        <v>9851716</v>
      </c>
      <c r="F83" s="2">
        <v>12940311</v>
      </c>
      <c r="G83" s="2">
        <f t="shared" si="2"/>
        <v>22792027</v>
      </c>
      <c r="H83">
        <f t="shared" si="3"/>
        <v>9.3700627187891322E-2</v>
      </c>
    </row>
    <row r="84" spans="1:8">
      <c r="A84" t="s">
        <v>65</v>
      </c>
      <c r="B84">
        <v>34000</v>
      </c>
      <c r="C84" t="s">
        <v>51</v>
      </c>
      <c r="D84" s="2">
        <v>381288350</v>
      </c>
      <c r="E84" s="2">
        <v>8498320</v>
      </c>
      <c r="F84" s="2">
        <v>25383786</v>
      </c>
      <c r="G84" s="2">
        <f t="shared" si="2"/>
        <v>33882106</v>
      </c>
      <c r="H84">
        <f t="shared" si="3"/>
        <v>8.8862159045772049E-2</v>
      </c>
    </row>
    <row r="85" spans="1:8">
      <c r="A85" t="s">
        <v>65</v>
      </c>
      <c r="B85">
        <v>35000</v>
      </c>
      <c r="C85" t="s">
        <v>52</v>
      </c>
      <c r="D85" s="2">
        <v>175864550</v>
      </c>
      <c r="E85" s="2">
        <v>13626481</v>
      </c>
      <c r="F85" s="2">
        <v>16603205</v>
      </c>
      <c r="G85" s="2">
        <f t="shared" si="2"/>
        <v>30229686</v>
      </c>
      <c r="H85">
        <f t="shared" si="3"/>
        <v>0.17189186791766731</v>
      </c>
    </row>
    <row r="86" spans="1:8">
      <c r="A86" t="s">
        <v>65</v>
      </c>
      <c r="B86">
        <v>36000</v>
      </c>
      <c r="C86" t="s">
        <v>53</v>
      </c>
      <c r="D86" s="2">
        <v>90573033</v>
      </c>
      <c r="E86" s="2">
        <v>7764081</v>
      </c>
      <c r="F86" s="2">
        <v>9145001</v>
      </c>
      <c r="G86" s="2">
        <f t="shared" si="2"/>
        <v>16909082</v>
      </c>
      <c r="H86">
        <f t="shared" si="3"/>
        <v>0.18669002726230885</v>
      </c>
    </row>
    <row r="87" spans="1:8">
      <c r="A87" t="s">
        <v>65</v>
      </c>
      <c r="B87">
        <v>37000</v>
      </c>
      <c r="C87" t="s">
        <v>54</v>
      </c>
      <c r="D87" s="2">
        <v>133742317</v>
      </c>
      <c r="E87" s="2">
        <v>7944678</v>
      </c>
      <c r="F87" s="2">
        <v>9882421</v>
      </c>
      <c r="G87" s="2">
        <f t="shared" si="2"/>
        <v>17827099</v>
      </c>
      <c r="H87">
        <f t="shared" si="3"/>
        <v>0.13329437832305538</v>
      </c>
    </row>
    <row r="88" spans="1:8">
      <c r="A88" t="s">
        <v>65</v>
      </c>
      <c r="B88">
        <v>38000</v>
      </c>
      <c r="C88" t="s">
        <v>55</v>
      </c>
      <c r="D88" s="2">
        <v>163825915</v>
      </c>
      <c r="E88" s="2">
        <v>11936247</v>
      </c>
      <c r="F88" s="2">
        <v>9276995</v>
      </c>
      <c r="G88" s="2">
        <f t="shared" si="2"/>
        <v>21213242</v>
      </c>
      <c r="H88">
        <f t="shared" si="3"/>
        <v>0.12948648570038507</v>
      </c>
    </row>
    <row r="89" spans="1:8">
      <c r="A89" t="s">
        <v>65</v>
      </c>
      <c r="B89">
        <v>39000</v>
      </c>
      <c r="C89" t="s">
        <v>56</v>
      </c>
      <c r="D89" s="2">
        <v>78715881</v>
      </c>
      <c r="E89" s="2">
        <v>10017397</v>
      </c>
      <c r="F89" s="2">
        <v>9104876</v>
      </c>
      <c r="G89" s="2">
        <f t="shared" si="2"/>
        <v>19122273</v>
      </c>
      <c r="H89">
        <f t="shared" si="3"/>
        <v>0.24292776447487135</v>
      </c>
    </row>
    <row r="90" spans="1:8">
      <c r="A90" t="s">
        <v>65</v>
      </c>
      <c r="B90">
        <v>40000</v>
      </c>
      <c r="C90" t="s">
        <v>57</v>
      </c>
      <c r="D90" s="2">
        <v>641666275</v>
      </c>
      <c r="E90" s="2">
        <v>27673128</v>
      </c>
      <c r="F90" s="2">
        <v>33070738</v>
      </c>
      <c r="G90" s="2">
        <f t="shared" si="2"/>
        <v>60743866</v>
      </c>
      <c r="H90">
        <f t="shared" si="3"/>
        <v>9.466582297784E-2</v>
      </c>
    </row>
    <row r="91" spans="1:8">
      <c r="A91" t="s">
        <v>65</v>
      </c>
      <c r="B91">
        <v>41000</v>
      </c>
      <c r="C91" t="s">
        <v>58</v>
      </c>
      <c r="D91" s="2">
        <v>98579363</v>
      </c>
      <c r="E91" s="2">
        <v>14383007</v>
      </c>
      <c r="F91" s="2">
        <v>6513154</v>
      </c>
      <c r="G91" s="2">
        <f t="shared" si="2"/>
        <v>20896161</v>
      </c>
      <c r="H91">
        <f t="shared" si="3"/>
        <v>0.21197297653465258</v>
      </c>
    </row>
    <row r="92" spans="1:8">
      <c r="A92" t="s">
        <v>65</v>
      </c>
      <c r="B92">
        <v>42000</v>
      </c>
      <c r="C92" t="s">
        <v>59</v>
      </c>
      <c r="D92" s="2">
        <v>138453866</v>
      </c>
      <c r="E92" s="2">
        <v>27218034</v>
      </c>
      <c r="F92" s="2">
        <v>19990879</v>
      </c>
      <c r="G92" s="2">
        <f t="shared" si="2"/>
        <v>47208913</v>
      </c>
      <c r="H92">
        <f t="shared" si="3"/>
        <v>0.34097215458035673</v>
      </c>
    </row>
    <row r="93" spans="1:8">
      <c r="A93" t="s">
        <v>65</v>
      </c>
      <c r="B93">
        <v>43000</v>
      </c>
      <c r="C93" t="s">
        <v>60</v>
      </c>
      <c r="D93" s="2">
        <v>194972264</v>
      </c>
      <c r="E93" s="2">
        <v>32514997</v>
      </c>
      <c r="F93" s="2">
        <v>101993373</v>
      </c>
      <c r="G93" s="2">
        <f t="shared" si="2"/>
        <v>134508370</v>
      </c>
      <c r="H93">
        <f t="shared" si="3"/>
        <v>0.68988463918129406</v>
      </c>
    </row>
    <row r="94" spans="1:8">
      <c r="A94" t="s">
        <v>65</v>
      </c>
      <c r="B94">
        <v>44000</v>
      </c>
      <c r="C94" t="s">
        <v>61</v>
      </c>
      <c r="D94" s="2">
        <v>133637906</v>
      </c>
      <c r="E94" s="2">
        <v>20551734</v>
      </c>
      <c r="F94" s="2">
        <v>14932454</v>
      </c>
      <c r="G94" s="2">
        <f t="shared" si="2"/>
        <v>35484188</v>
      </c>
      <c r="H94">
        <f t="shared" si="3"/>
        <v>0.26552487286054899</v>
      </c>
    </row>
    <row r="95" spans="1:8">
      <c r="A95" t="s">
        <v>65</v>
      </c>
      <c r="B95">
        <v>45000</v>
      </c>
      <c r="C95" t="s">
        <v>62</v>
      </c>
      <c r="D95" s="2">
        <v>120544893</v>
      </c>
      <c r="E95" s="2">
        <v>21728652</v>
      </c>
      <c r="F95" s="2">
        <v>13920621</v>
      </c>
      <c r="G95" s="2">
        <f t="shared" si="2"/>
        <v>35649273</v>
      </c>
      <c r="H95">
        <f t="shared" si="3"/>
        <v>0.29573441157727021</v>
      </c>
    </row>
    <row r="96" spans="1:8">
      <c r="A96" t="s">
        <v>65</v>
      </c>
      <c r="B96">
        <v>46000</v>
      </c>
      <c r="C96" t="s">
        <v>63</v>
      </c>
      <c r="D96" s="2">
        <v>174985019</v>
      </c>
      <c r="E96" s="2">
        <v>34340403</v>
      </c>
      <c r="F96" s="2">
        <v>23522433</v>
      </c>
      <c r="G96" s="2">
        <f t="shared" si="2"/>
        <v>57862836</v>
      </c>
      <c r="H96">
        <f t="shared" si="3"/>
        <v>0.33067308464846351</v>
      </c>
    </row>
    <row r="97" spans="1:8">
      <c r="A97" t="s">
        <v>65</v>
      </c>
      <c r="B97">
        <v>47000</v>
      </c>
      <c r="C97" t="s">
        <v>64</v>
      </c>
      <c r="D97" s="2">
        <v>141049554</v>
      </c>
      <c r="E97" s="2">
        <v>110996849</v>
      </c>
      <c r="F97" s="2">
        <v>71356034</v>
      </c>
      <c r="G97" s="2">
        <f t="shared" si="2"/>
        <v>182352883</v>
      </c>
      <c r="H97">
        <f t="shared" si="3"/>
        <v>1.2928284977065578</v>
      </c>
    </row>
    <row r="98" spans="1:8">
      <c r="A98" t="s">
        <v>66</v>
      </c>
      <c r="B98" s="1" t="s">
        <v>9</v>
      </c>
      <c r="C98" t="s">
        <v>10</v>
      </c>
      <c r="D98" s="2">
        <v>670899468</v>
      </c>
      <c r="E98" s="2">
        <v>92245199</v>
      </c>
      <c r="F98" s="2">
        <v>53359568</v>
      </c>
      <c r="G98" s="2">
        <f t="shared" si="2"/>
        <v>145604767</v>
      </c>
      <c r="H98">
        <f t="shared" si="3"/>
        <v>0.21702918834331225</v>
      </c>
    </row>
    <row r="99" spans="1:8">
      <c r="A99" t="s">
        <v>66</v>
      </c>
      <c r="B99" s="1" t="s">
        <v>11</v>
      </c>
      <c r="C99" t="s">
        <v>12</v>
      </c>
      <c r="D99" s="2">
        <v>165246712</v>
      </c>
      <c r="E99" s="2">
        <v>22520705</v>
      </c>
      <c r="F99" s="2">
        <v>9937647</v>
      </c>
      <c r="G99" s="2">
        <f t="shared" si="2"/>
        <v>32458352</v>
      </c>
      <c r="H99">
        <f t="shared" si="3"/>
        <v>0.19642358753861316</v>
      </c>
    </row>
    <row r="100" spans="1:8">
      <c r="A100" t="s">
        <v>66</v>
      </c>
      <c r="B100" s="1" t="s">
        <v>13</v>
      </c>
      <c r="C100" t="s">
        <v>14</v>
      </c>
      <c r="D100" s="2">
        <v>154091605</v>
      </c>
      <c r="E100" s="2">
        <v>19170217</v>
      </c>
      <c r="F100" s="2">
        <v>21977669</v>
      </c>
      <c r="G100" s="2">
        <f t="shared" si="2"/>
        <v>41147886</v>
      </c>
      <c r="H100">
        <f t="shared" si="3"/>
        <v>0.26703522232765375</v>
      </c>
    </row>
    <row r="101" spans="1:8">
      <c r="A101" t="s">
        <v>66</v>
      </c>
      <c r="B101" s="1" t="s">
        <v>15</v>
      </c>
      <c r="C101" t="s">
        <v>16</v>
      </c>
      <c r="D101" s="2">
        <v>326448386</v>
      </c>
      <c r="E101" s="2">
        <v>25375673</v>
      </c>
      <c r="F101" s="2">
        <v>52755730</v>
      </c>
      <c r="G101" s="2">
        <f t="shared" si="2"/>
        <v>78131403</v>
      </c>
      <c r="H101">
        <f t="shared" si="3"/>
        <v>0.23933769119630446</v>
      </c>
    </row>
    <row r="102" spans="1:8">
      <c r="A102" t="s">
        <v>66</v>
      </c>
      <c r="B102" s="1" t="s">
        <v>17</v>
      </c>
      <c r="C102" t="s">
        <v>18</v>
      </c>
      <c r="D102" s="2">
        <v>114129098</v>
      </c>
      <c r="E102" s="2">
        <v>20714983</v>
      </c>
      <c r="F102" s="2">
        <v>9745810</v>
      </c>
      <c r="G102" s="2">
        <f t="shared" si="2"/>
        <v>30460793</v>
      </c>
      <c r="H102">
        <f t="shared" si="3"/>
        <v>0.26689769334723035</v>
      </c>
    </row>
    <row r="103" spans="1:8">
      <c r="A103" t="s">
        <v>66</v>
      </c>
      <c r="B103" s="1" t="s">
        <v>19</v>
      </c>
      <c r="C103" t="s">
        <v>20</v>
      </c>
      <c r="D103" s="2">
        <v>127974330</v>
      </c>
      <c r="E103" s="2">
        <v>13149278</v>
      </c>
      <c r="F103" s="2">
        <v>12109113</v>
      </c>
      <c r="G103" s="2">
        <f t="shared" si="2"/>
        <v>25258391</v>
      </c>
      <c r="H103">
        <f t="shared" si="3"/>
        <v>0.19737076177699076</v>
      </c>
    </row>
    <row r="104" spans="1:8">
      <c r="A104" t="s">
        <v>66</v>
      </c>
      <c r="B104" s="1" t="s">
        <v>21</v>
      </c>
      <c r="C104" t="s">
        <v>22</v>
      </c>
      <c r="D104" s="2">
        <v>270252864</v>
      </c>
      <c r="E104" s="2">
        <v>53240340</v>
      </c>
      <c r="F104" s="2">
        <v>365498160</v>
      </c>
      <c r="G104" s="2">
        <f t="shared" si="2"/>
        <v>418738500</v>
      </c>
      <c r="H104">
        <f t="shared" si="3"/>
        <v>1.5494322383943357</v>
      </c>
    </row>
    <row r="105" spans="1:8">
      <c r="A105" t="s">
        <v>66</v>
      </c>
      <c r="B105" s="1" t="s">
        <v>23</v>
      </c>
      <c r="C105" t="s">
        <v>24</v>
      </c>
      <c r="D105" s="2">
        <v>395375795</v>
      </c>
      <c r="E105" s="2">
        <v>10287476</v>
      </c>
      <c r="F105" s="2">
        <v>15056152</v>
      </c>
      <c r="G105" s="2">
        <f t="shared" si="2"/>
        <v>25343628</v>
      </c>
      <c r="H105">
        <f t="shared" si="3"/>
        <v>6.410010000738664E-2</v>
      </c>
    </row>
    <row r="106" spans="1:8">
      <c r="A106" t="s">
        <v>66</v>
      </c>
      <c r="B106" s="1" t="s">
        <v>25</v>
      </c>
      <c r="C106" t="s">
        <v>26</v>
      </c>
      <c r="D106" s="2">
        <v>287156687</v>
      </c>
      <c r="E106" s="2">
        <v>13385720</v>
      </c>
      <c r="F106" s="2">
        <v>12636076</v>
      </c>
      <c r="G106" s="2">
        <f t="shared" si="2"/>
        <v>26021796</v>
      </c>
      <c r="H106">
        <f t="shared" si="3"/>
        <v>9.0618805613953884E-2</v>
      </c>
    </row>
    <row r="107" spans="1:8">
      <c r="A107" t="s">
        <v>66</v>
      </c>
      <c r="B107">
        <v>10000</v>
      </c>
      <c r="C107" t="s">
        <v>27</v>
      </c>
      <c r="D107" s="2">
        <v>278320270</v>
      </c>
      <c r="E107" s="2">
        <v>9763672</v>
      </c>
      <c r="F107" s="2">
        <v>19257347</v>
      </c>
      <c r="G107" s="2">
        <f t="shared" si="2"/>
        <v>29021019</v>
      </c>
      <c r="H107">
        <f t="shared" si="3"/>
        <v>0.10427202804883741</v>
      </c>
    </row>
    <row r="108" spans="1:8">
      <c r="A108" t="s">
        <v>66</v>
      </c>
      <c r="B108">
        <v>11000</v>
      </c>
      <c r="C108" t="s">
        <v>28</v>
      </c>
      <c r="D108" s="2">
        <v>868873037</v>
      </c>
      <c r="E108" s="2">
        <v>6827695</v>
      </c>
      <c r="F108" s="2">
        <v>24632066</v>
      </c>
      <c r="G108" s="2">
        <f t="shared" si="2"/>
        <v>31459761</v>
      </c>
      <c r="H108">
        <f t="shared" si="3"/>
        <v>3.6207546626861202E-2</v>
      </c>
    </row>
    <row r="109" spans="1:8">
      <c r="A109" t="s">
        <v>66</v>
      </c>
      <c r="B109">
        <v>12000</v>
      </c>
      <c r="C109" t="s">
        <v>29</v>
      </c>
      <c r="D109" s="2">
        <v>781514079</v>
      </c>
      <c r="E109" s="2">
        <v>21440498</v>
      </c>
      <c r="F109" s="2">
        <v>41725762</v>
      </c>
      <c r="G109" s="2">
        <f t="shared" si="2"/>
        <v>63166260</v>
      </c>
      <c r="H109">
        <f t="shared" si="3"/>
        <v>8.0825492076643704E-2</v>
      </c>
    </row>
    <row r="110" spans="1:8">
      <c r="A110" t="s">
        <v>66</v>
      </c>
      <c r="B110">
        <v>13000</v>
      </c>
      <c r="C110" t="s">
        <v>30</v>
      </c>
      <c r="D110" s="2">
        <v>5162436445</v>
      </c>
      <c r="E110" s="2">
        <v>43347037</v>
      </c>
      <c r="F110" s="2">
        <v>99534066</v>
      </c>
      <c r="G110" s="2">
        <f t="shared" si="2"/>
        <v>142881103</v>
      </c>
      <c r="H110">
        <f t="shared" si="3"/>
        <v>2.7677067702864475E-2</v>
      </c>
    </row>
    <row r="111" spans="1:8">
      <c r="A111" t="s">
        <v>66</v>
      </c>
      <c r="B111">
        <v>14000</v>
      </c>
      <c r="C111" t="s">
        <v>31</v>
      </c>
      <c r="D111" s="2">
        <v>1253326163</v>
      </c>
      <c r="E111" s="2">
        <v>6490604</v>
      </c>
      <c r="F111" s="2">
        <v>30396382</v>
      </c>
      <c r="G111" s="2">
        <f t="shared" si="2"/>
        <v>36886986</v>
      </c>
      <c r="H111">
        <f t="shared" si="3"/>
        <v>2.9431274227696785E-2</v>
      </c>
    </row>
    <row r="112" spans="1:8">
      <c r="A112" t="s">
        <v>66</v>
      </c>
      <c r="B112">
        <v>15000</v>
      </c>
      <c r="C112" t="s">
        <v>32</v>
      </c>
      <c r="D112" s="2">
        <v>296536246</v>
      </c>
      <c r="E112" s="2">
        <v>34302287</v>
      </c>
      <c r="F112" s="2">
        <v>21700588</v>
      </c>
      <c r="G112" s="2">
        <f t="shared" si="2"/>
        <v>56002875</v>
      </c>
      <c r="H112">
        <f t="shared" si="3"/>
        <v>0.18885676120685765</v>
      </c>
    </row>
    <row r="113" spans="1:8">
      <c r="A113" t="s">
        <v>66</v>
      </c>
      <c r="B113">
        <v>16000</v>
      </c>
      <c r="C113" t="s">
        <v>33</v>
      </c>
      <c r="D113" s="2">
        <v>148194804</v>
      </c>
      <c r="E113" s="2">
        <v>11165227</v>
      </c>
      <c r="F113" s="2">
        <v>9355562</v>
      </c>
      <c r="G113" s="2">
        <f t="shared" si="2"/>
        <v>20520789</v>
      </c>
      <c r="H113">
        <f t="shared" si="3"/>
        <v>0.1384717172674961</v>
      </c>
    </row>
    <row r="114" spans="1:8">
      <c r="A114" t="s">
        <v>66</v>
      </c>
      <c r="B114">
        <v>17000</v>
      </c>
      <c r="C114" t="s">
        <v>34</v>
      </c>
      <c r="D114" s="2">
        <v>161765785</v>
      </c>
      <c r="E114" s="2">
        <v>6665476</v>
      </c>
      <c r="F114" s="2">
        <v>12717855</v>
      </c>
      <c r="G114" s="2">
        <f t="shared" si="2"/>
        <v>19383331</v>
      </c>
      <c r="H114">
        <f t="shared" si="3"/>
        <v>0.11982342866880039</v>
      </c>
    </row>
    <row r="115" spans="1:8">
      <c r="A115" t="s">
        <v>66</v>
      </c>
      <c r="B115">
        <v>18000</v>
      </c>
      <c r="C115" t="s">
        <v>35</v>
      </c>
      <c r="D115" s="2">
        <v>121280152</v>
      </c>
      <c r="E115" s="2">
        <v>12866650</v>
      </c>
      <c r="F115" s="2">
        <v>10805114</v>
      </c>
      <c r="G115" s="2">
        <f t="shared" si="2"/>
        <v>23671764</v>
      </c>
      <c r="H115">
        <f t="shared" si="3"/>
        <v>0.19518250603775628</v>
      </c>
    </row>
    <row r="116" spans="1:8">
      <c r="A116" t="s">
        <v>66</v>
      </c>
      <c r="B116">
        <v>19000</v>
      </c>
      <c r="C116" t="s">
        <v>36</v>
      </c>
      <c r="D116" s="2">
        <v>118973609</v>
      </c>
      <c r="E116" s="2">
        <v>14528074</v>
      </c>
      <c r="F116" s="2">
        <v>5332467</v>
      </c>
      <c r="G116" s="2">
        <f t="shared" si="2"/>
        <v>19860541</v>
      </c>
      <c r="H116">
        <f t="shared" si="3"/>
        <v>0.16693232362145122</v>
      </c>
    </row>
    <row r="117" spans="1:8">
      <c r="A117" t="s">
        <v>66</v>
      </c>
      <c r="B117">
        <v>20000</v>
      </c>
      <c r="C117" t="s">
        <v>37</v>
      </c>
      <c r="D117" s="2">
        <v>275555202</v>
      </c>
      <c r="E117" s="2">
        <v>16905251</v>
      </c>
      <c r="F117" s="2">
        <v>13300855</v>
      </c>
      <c r="G117" s="2">
        <f t="shared" si="2"/>
        <v>30206106</v>
      </c>
      <c r="H117">
        <f t="shared" si="3"/>
        <v>0.10961907371285991</v>
      </c>
    </row>
    <row r="118" spans="1:8">
      <c r="A118" t="s">
        <v>66</v>
      </c>
      <c r="B118">
        <v>21000</v>
      </c>
      <c r="C118" t="s">
        <v>38</v>
      </c>
      <c r="D118" s="2">
        <v>267335306</v>
      </c>
      <c r="E118" s="2">
        <v>19460945</v>
      </c>
      <c r="F118" s="2">
        <v>15010348</v>
      </c>
      <c r="G118" s="2">
        <f t="shared" si="2"/>
        <v>34471293</v>
      </c>
      <c r="H118">
        <f t="shared" si="3"/>
        <v>0.12894403479950381</v>
      </c>
    </row>
    <row r="119" spans="1:8">
      <c r="A119" t="s">
        <v>66</v>
      </c>
      <c r="B119">
        <v>22000</v>
      </c>
      <c r="C119" t="s">
        <v>39</v>
      </c>
      <c r="D119" s="2">
        <v>551368939</v>
      </c>
      <c r="E119" s="2">
        <v>12953018</v>
      </c>
      <c r="F119" s="2">
        <v>21696756</v>
      </c>
      <c r="G119" s="2">
        <f t="shared" si="2"/>
        <v>34649774</v>
      </c>
      <c r="H119">
        <f t="shared" si="3"/>
        <v>6.2843173688461984E-2</v>
      </c>
    </row>
    <row r="120" spans="1:8">
      <c r="A120" t="s">
        <v>66</v>
      </c>
      <c r="B120">
        <v>23000</v>
      </c>
      <c r="C120" t="s">
        <v>40</v>
      </c>
      <c r="D120" s="2">
        <v>1260276670</v>
      </c>
      <c r="E120" s="2">
        <v>15914468</v>
      </c>
      <c r="F120" s="2">
        <v>29456237</v>
      </c>
      <c r="G120" s="2">
        <f t="shared" si="2"/>
        <v>45370705</v>
      </c>
      <c r="H120">
        <f t="shared" si="3"/>
        <v>3.6000591044821929E-2</v>
      </c>
    </row>
    <row r="121" spans="1:8">
      <c r="A121" t="s">
        <v>66</v>
      </c>
      <c r="B121">
        <v>24000</v>
      </c>
      <c r="C121" t="s">
        <v>41</v>
      </c>
      <c r="D121" s="2">
        <v>250283662</v>
      </c>
      <c r="E121" s="2">
        <v>10382827</v>
      </c>
      <c r="F121" s="2">
        <v>10671068</v>
      </c>
      <c r="G121" s="2">
        <f t="shared" si="2"/>
        <v>21053895</v>
      </c>
      <c r="H121">
        <f t="shared" si="3"/>
        <v>8.4120133259037902E-2</v>
      </c>
    </row>
    <row r="122" spans="1:8">
      <c r="A122" t="s">
        <v>66</v>
      </c>
      <c r="B122">
        <v>25000</v>
      </c>
      <c r="C122" t="s">
        <v>42</v>
      </c>
      <c r="D122" s="2">
        <v>183436338</v>
      </c>
      <c r="E122" s="2">
        <v>5485595</v>
      </c>
      <c r="F122" s="2">
        <v>10250187</v>
      </c>
      <c r="G122" s="2">
        <f t="shared" si="2"/>
        <v>15735782</v>
      </c>
      <c r="H122">
        <f t="shared" si="3"/>
        <v>8.5783341357370535E-2</v>
      </c>
    </row>
    <row r="123" spans="1:8">
      <c r="A123" t="s">
        <v>66</v>
      </c>
      <c r="B123">
        <v>26000</v>
      </c>
      <c r="C123" t="s">
        <v>43</v>
      </c>
      <c r="D123" s="2">
        <v>337877101</v>
      </c>
      <c r="E123" s="2">
        <v>7932860</v>
      </c>
      <c r="F123" s="2">
        <v>17449066</v>
      </c>
      <c r="G123" s="2">
        <f t="shared" si="2"/>
        <v>25381926</v>
      </c>
      <c r="H123">
        <f t="shared" si="3"/>
        <v>7.5121770385972383E-2</v>
      </c>
    </row>
    <row r="124" spans="1:8">
      <c r="A124" t="s">
        <v>66</v>
      </c>
      <c r="B124">
        <v>27000</v>
      </c>
      <c r="C124" t="s">
        <v>44</v>
      </c>
      <c r="D124" s="2">
        <v>1284042365</v>
      </c>
      <c r="E124" s="2">
        <v>14326376</v>
      </c>
      <c r="F124" s="2">
        <v>44979002</v>
      </c>
      <c r="G124" s="2">
        <f t="shared" si="2"/>
        <v>59305378</v>
      </c>
      <c r="H124">
        <f t="shared" si="3"/>
        <v>4.6186465195017144E-2</v>
      </c>
    </row>
    <row r="125" spans="1:8">
      <c r="A125" t="s">
        <v>66</v>
      </c>
      <c r="B125">
        <v>28000</v>
      </c>
      <c r="C125" t="s">
        <v>45</v>
      </c>
      <c r="D125" s="2">
        <v>714336564</v>
      </c>
      <c r="E125" s="2">
        <v>25042394</v>
      </c>
      <c r="F125" s="2">
        <v>30620070</v>
      </c>
      <c r="G125" s="2">
        <f t="shared" si="2"/>
        <v>55662464</v>
      </c>
      <c r="H125">
        <f t="shared" si="3"/>
        <v>7.7921902370938975E-2</v>
      </c>
    </row>
    <row r="126" spans="1:8">
      <c r="A126" t="s">
        <v>66</v>
      </c>
      <c r="B126">
        <v>29000</v>
      </c>
      <c r="C126" t="s">
        <v>46</v>
      </c>
      <c r="D126" s="2">
        <v>147351026</v>
      </c>
      <c r="E126" s="2">
        <v>16437022</v>
      </c>
      <c r="F126" s="2">
        <v>8038207</v>
      </c>
      <c r="G126" s="2">
        <f t="shared" si="2"/>
        <v>24475229</v>
      </c>
      <c r="H126">
        <f t="shared" si="3"/>
        <v>0.1661015173386034</v>
      </c>
    </row>
    <row r="127" spans="1:8">
      <c r="A127" t="s">
        <v>66</v>
      </c>
      <c r="B127">
        <v>30000</v>
      </c>
      <c r="C127" t="s">
        <v>47</v>
      </c>
      <c r="D127" s="2">
        <v>107187656</v>
      </c>
      <c r="E127" s="2">
        <v>13201491</v>
      </c>
      <c r="F127" s="2">
        <v>7590343</v>
      </c>
      <c r="G127" s="2">
        <f t="shared" si="2"/>
        <v>20791834</v>
      </c>
      <c r="H127">
        <f t="shared" si="3"/>
        <v>0.19397601156610794</v>
      </c>
    </row>
    <row r="128" spans="1:8">
      <c r="A128" t="s">
        <v>66</v>
      </c>
      <c r="B128">
        <v>31000</v>
      </c>
      <c r="C128" t="s">
        <v>48</v>
      </c>
      <c r="D128" s="2">
        <v>64475608</v>
      </c>
      <c r="E128" s="2">
        <v>6482300</v>
      </c>
      <c r="F128" s="2">
        <v>10530917</v>
      </c>
      <c r="G128" s="2">
        <f t="shared" si="2"/>
        <v>17013217</v>
      </c>
      <c r="H128">
        <f t="shared" si="3"/>
        <v>0.26387059428737764</v>
      </c>
    </row>
    <row r="129" spans="1:8">
      <c r="A129" t="s">
        <v>66</v>
      </c>
      <c r="B129">
        <v>32000</v>
      </c>
      <c r="C129" t="s">
        <v>49</v>
      </c>
      <c r="D129" s="2">
        <v>80873093</v>
      </c>
      <c r="E129" s="2">
        <v>15407993</v>
      </c>
      <c r="F129" s="2">
        <v>10935520</v>
      </c>
      <c r="G129" s="2">
        <f t="shared" si="2"/>
        <v>26343513</v>
      </c>
      <c r="H129">
        <f t="shared" si="3"/>
        <v>0.32573890799502375</v>
      </c>
    </row>
    <row r="130" spans="1:8">
      <c r="A130" t="s">
        <v>66</v>
      </c>
      <c r="B130">
        <v>33000</v>
      </c>
      <c r="C130" t="s">
        <v>50</v>
      </c>
      <c r="D130" s="2">
        <v>243358052</v>
      </c>
      <c r="E130" s="2">
        <v>11543025</v>
      </c>
      <c r="F130" s="2">
        <v>12138240</v>
      </c>
      <c r="G130" s="2">
        <f t="shared" si="2"/>
        <v>23681265</v>
      </c>
      <c r="H130">
        <f t="shared" si="3"/>
        <v>9.7310381988100395E-2</v>
      </c>
    </row>
    <row r="131" spans="1:8">
      <c r="A131" t="s">
        <v>66</v>
      </c>
      <c r="B131">
        <v>34000</v>
      </c>
      <c r="C131" t="s">
        <v>51</v>
      </c>
      <c r="D131" s="2">
        <v>380256383</v>
      </c>
      <c r="E131" s="2">
        <v>10523582</v>
      </c>
      <c r="F131" s="2">
        <v>26111579</v>
      </c>
      <c r="G131" s="2">
        <f t="shared" ref="G131:G194" si="4">E131+F131</f>
        <v>36635161</v>
      </c>
      <c r="H131">
        <f t="shared" ref="H131:H194" si="5">G131/D131</f>
        <v>9.6343316346119034E-2</v>
      </c>
    </row>
    <row r="132" spans="1:8">
      <c r="A132" t="s">
        <v>66</v>
      </c>
      <c r="B132">
        <v>35000</v>
      </c>
      <c r="C132" t="s">
        <v>52</v>
      </c>
      <c r="D132" s="2">
        <v>174358043</v>
      </c>
      <c r="E132" s="2">
        <v>13455479</v>
      </c>
      <c r="F132" s="2">
        <v>17726948</v>
      </c>
      <c r="G132" s="2">
        <f t="shared" si="4"/>
        <v>31182427</v>
      </c>
      <c r="H132">
        <f t="shared" si="5"/>
        <v>0.17884134544914571</v>
      </c>
    </row>
    <row r="133" spans="1:8">
      <c r="A133" t="s">
        <v>66</v>
      </c>
      <c r="B133">
        <v>36000</v>
      </c>
      <c r="C133" t="s">
        <v>53</v>
      </c>
      <c r="D133" s="2">
        <v>93452969</v>
      </c>
      <c r="E133" s="2">
        <v>9478371</v>
      </c>
      <c r="F133" s="2">
        <v>8728916</v>
      </c>
      <c r="G133" s="2">
        <f t="shared" si="4"/>
        <v>18207287</v>
      </c>
      <c r="H133">
        <f t="shared" si="5"/>
        <v>0.19482834194384985</v>
      </c>
    </row>
    <row r="134" spans="1:8">
      <c r="A134" t="s">
        <v>66</v>
      </c>
      <c r="B134">
        <v>37000</v>
      </c>
      <c r="C134" t="s">
        <v>54</v>
      </c>
      <c r="D134" s="2">
        <v>134925315</v>
      </c>
      <c r="E134" s="2">
        <v>4039056</v>
      </c>
      <c r="F134" s="2">
        <v>12645330</v>
      </c>
      <c r="G134" s="2">
        <f t="shared" si="4"/>
        <v>16684386</v>
      </c>
      <c r="H134">
        <f t="shared" si="5"/>
        <v>0.12365645394268673</v>
      </c>
    </row>
    <row r="135" spans="1:8">
      <c r="A135" t="s">
        <v>66</v>
      </c>
      <c r="B135">
        <v>38000</v>
      </c>
      <c r="C135" t="s">
        <v>55</v>
      </c>
      <c r="D135" s="2">
        <v>163947441</v>
      </c>
      <c r="E135" s="2">
        <v>11701205</v>
      </c>
      <c r="F135" s="2">
        <v>10747308</v>
      </c>
      <c r="G135" s="2">
        <f t="shared" si="4"/>
        <v>22448513</v>
      </c>
      <c r="H135">
        <f t="shared" si="5"/>
        <v>0.1369250588058889</v>
      </c>
    </row>
    <row r="136" spans="1:8">
      <c r="A136" t="s">
        <v>66</v>
      </c>
      <c r="B136">
        <v>39000</v>
      </c>
      <c r="C136" t="s">
        <v>56</v>
      </c>
      <c r="D136" s="2">
        <v>79864463</v>
      </c>
      <c r="E136" s="2">
        <v>14439208</v>
      </c>
      <c r="F136" s="2">
        <v>8844412</v>
      </c>
      <c r="G136" s="2">
        <f t="shared" si="4"/>
        <v>23283620</v>
      </c>
      <c r="H136">
        <f t="shared" si="5"/>
        <v>0.29153917932184681</v>
      </c>
    </row>
    <row r="137" spans="1:8">
      <c r="A137" t="s">
        <v>66</v>
      </c>
      <c r="B137">
        <v>40000</v>
      </c>
      <c r="C137" t="s">
        <v>57</v>
      </c>
      <c r="D137" s="2">
        <v>640727843</v>
      </c>
      <c r="E137" s="2">
        <v>29985741</v>
      </c>
      <c r="F137" s="2">
        <v>35490674</v>
      </c>
      <c r="G137" s="2">
        <f t="shared" si="4"/>
        <v>65476415</v>
      </c>
      <c r="H137">
        <f t="shared" si="5"/>
        <v>0.10219068160582495</v>
      </c>
    </row>
    <row r="138" spans="1:8">
      <c r="A138" t="s">
        <v>66</v>
      </c>
      <c r="B138">
        <v>41000</v>
      </c>
      <c r="C138" t="s">
        <v>58</v>
      </c>
      <c r="D138" s="2">
        <v>99765895</v>
      </c>
      <c r="E138" s="2">
        <v>13050149</v>
      </c>
      <c r="F138" s="2">
        <v>6295532</v>
      </c>
      <c r="G138" s="2">
        <f t="shared" si="4"/>
        <v>19345681</v>
      </c>
      <c r="H138">
        <f t="shared" si="5"/>
        <v>0.19391076479592551</v>
      </c>
    </row>
    <row r="139" spans="1:8">
      <c r="A139" t="s">
        <v>66</v>
      </c>
      <c r="B139">
        <v>42000</v>
      </c>
      <c r="C139" t="s">
        <v>59</v>
      </c>
      <c r="D139" s="2">
        <v>141947512</v>
      </c>
      <c r="E139" s="2">
        <v>26512519</v>
      </c>
      <c r="F139" s="2">
        <v>19105076</v>
      </c>
      <c r="G139" s="2">
        <f t="shared" si="4"/>
        <v>45617595</v>
      </c>
      <c r="H139">
        <f t="shared" si="5"/>
        <v>0.32136945802896494</v>
      </c>
    </row>
    <row r="140" spans="1:8">
      <c r="A140" t="s">
        <v>66</v>
      </c>
      <c r="B140">
        <v>43000</v>
      </c>
      <c r="C140" t="s">
        <v>60</v>
      </c>
      <c r="D140" s="2">
        <v>197713241</v>
      </c>
      <c r="E140" s="2">
        <v>30268762</v>
      </c>
      <c r="F140" s="2">
        <v>22725248</v>
      </c>
      <c r="G140" s="2">
        <f t="shared" si="4"/>
        <v>52994010</v>
      </c>
      <c r="H140">
        <f t="shared" si="5"/>
        <v>0.26803470385678418</v>
      </c>
    </row>
    <row r="141" spans="1:8">
      <c r="A141" t="s">
        <v>66</v>
      </c>
      <c r="B141">
        <v>44000</v>
      </c>
      <c r="C141" t="s">
        <v>61</v>
      </c>
      <c r="D141" s="2">
        <v>132030549</v>
      </c>
      <c r="E141" s="2">
        <v>22459192</v>
      </c>
      <c r="F141" s="2">
        <v>8104166</v>
      </c>
      <c r="G141" s="2">
        <f t="shared" si="4"/>
        <v>30563358</v>
      </c>
      <c r="H141">
        <f t="shared" si="5"/>
        <v>0.23148701744775749</v>
      </c>
    </row>
    <row r="142" spans="1:8">
      <c r="A142" t="s">
        <v>66</v>
      </c>
      <c r="B142">
        <v>45000</v>
      </c>
      <c r="C142" t="s">
        <v>62</v>
      </c>
      <c r="D142" s="2">
        <v>121153990</v>
      </c>
      <c r="E142" s="2">
        <v>28761889</v>
      </c>
      <c r="F142" s="2">
        <v>5693428</v>
      </c>
      <c r="G142" s="2">
        <f t="shared" si="4"/>
        <v>34455317</v>
      </c>
      <c r="H142">
        <f t="shared" si="5"/>
        <v>0.28439275503844325</v>
      </c>
    </row>
    <row r="143" spans="1:8">
      <c r="A143" t="s">
        <v>66</v>
      </c>
      <c r="B143">
        <v>46000</v>
      </c>
      <c r="C143" t="s">
        <v>63</v>
      </c>
      <c r="D143" s="2">
        <v>175527046</v>
      </c>
      <c r="E143" s="2">
        <v>37261047</v>
      </c>
      <c r="F143" s="2">
        <v>18299732</v>
      </c>
      <c r="G143" s="2">
        <f t="shared" si="4"/>
        <v>55560779</v>
      </c>
      <c r="H143">
        <f t="shared" si="5"/>
        <v>0.31653685438311313</v>
      </c>
    </row>
    <row r="144" spans="1:8">
      <c r="A144" t="s">
        <v>66</v>
      </c>
      <c r="B144">
        <v>47000</v>
      </c>
      <c r="C144" t="s">
        <v>64</v>
      </c>
      <c r="D144" s="2">
        <v>136370037</v>
      </c>
      <c r="E144" s="2">
        <v>115022269</v>
      </c>
      <c r="F144" s="2">
        <v>70875103</v>
      </c>
      <c r="G144" s="2">
        <f t="shared" si="4"/>
        <v>185897372</v>
      </c>
      <c r="H144">
        <f t="shared" si="5"/>
        <v>1.3631834095637885</v>
      </c>
    </row>
    <row r="145" spans="1:8">
      <c r="A145" t="s">
        <v>67</v>
      </c>
      <c r="B145" s="1" t="s">
        <v>7</v>
      </c>
      <c r="C145" t="s">
        <v>8</v>
      </c>
      <c r="D145" s="2">
        <v>17793999837</v>
      </c>
      <c r="E145" s="2">
        <v>1032311799</v>
      </c>
      <c r="F145" s="2">
        <v>1349761275</v>
      </c>
      <c r="G145" s="2">
        <f t="shared" si="4"/>
        <v>2382073074</v>
      </c>
      <c r="H145">
        <f t="shared" si="5"/>
        <v>0.13386945576153317</v>
      </c>
    </row>
    <row r="146" spans="1:8">
      <c r="A146" t="s">
        <v>67</v>
      </c>
      <c r="B146" s="1" t="s">
        <v>9</v>
      </c>
      <c r="C146" t="s">
        <v>10</v>
      </c>
      <c r="D146" s="2">
        <v>581251559</v>
      </c>
      <c r="E146" s="2">
        <v>92336450</v>
      </c>
      <c r="F146" s="2">
        <v>40200071</v>
      </c>
      <c r="G146" s="2">
        <f t="shared" si="4"/>
        <v>132536521</v>
      </c>
      <c r="H146">
        <f t="shared" si="5"/>
        <v>0.2280192094934235</v>
      </c>
    </row>
    <row r="147" spans="1:8">
      <c r="A147" t="s">
        <v>67</v>
      </c>
      <c r="B147" s="1" t="s">
        <v>11</v>
      </c>
      <c r="C147" t="s">
        <v>12</v>
      </c>
      <c r="D147" s="2">
        <v>143648533</v>
      </c>
      <c r="E147" s="2">
        <v>26229321</v>
      </c>
      <c r="F147" s="2">
        <v>11586553</v>
      </c>
      <c r="G147" s="2">
        <f t="shared" si="4"/>
        <v>37815874</v>
      </c>
      <c r="H147">
        <f t="shared" si="5"/>
        <v>0.26325276847762868</v>
      </c>
    </row>
    <row r="148" spans="1:8">
      <c r="A148" t="s">
        <v>67</v>
      </c>
      <c r="B148" s="1" t="s">
        <v>13</v>
      </c>
      <c r="C148" t="s">
        <v>14</v>
      </c>
      <c r="D148" s="2">
        <v>132910656</v>
      </c>
      <c r="E148" s="2">
        <v>21930809</v>
      </c>
      <c r="F148" s="2">
        <v>16523311</v>
      </c>
      <c r="G148" s="2">
        <f t="shared" si="4"/>
        <v>38454120</v>
      </c>
      <c r="H148">
        <f t="shared" si="5"/>
        <v>0.28932307730089002</v>
      </c>
    </row>
    <row r="149" spans="1:8">
      <c r="A149" t="s">
        <v>67</v>
      </c>
      <c r="B149" s="1" t="s">
        <v>15</v>
      </c>
      <c r="C149" t="s">
        <v>16</v>
      </c>
      <c r="D149" s="2">
        <v>284755852</v>
      </c>
      <c r="E149" s="2">
        <v>26904253</v>
      </c>
      <c r="F149" s="2">
        <v>53111347</v>
      </c>
      <c r="G149" s="2">
        <f t="shared" si="4"/>
        <v>80015600</v>
      </c>
      <c r="H149">
        <f t="shared" si="5"/>
        <v>0.2809972101995642</v>
      </c>
    </row>
    <row r="150" spans="1:8">
      <c r="A150" t="s">
        <v>67</v>
      </c>
      <c r="B150" s="1" t="s">
        <v>17</v>
      </c>
      <c r="C150" t="s">
        <v>18</v>
      </c>
      <c r="D150" s="2">
        <v>97341166</v>
      </c>
      <c r="E150" s="2">
        <v>17879227</v>
      </c>
      <c r="F150" s="2">
        <v>8063669</v>
      </c>
      <c r="G150" s="2">
        <f t="shared" si="4"/>
        <v>25942896</v>
      </c>
      <c r="H150">
        <f t="shared" si="5"/>
        <v>0.26651515557148758</v>
      </c>
    </row>
    <row r="151" spans="1:8">
      <c r="A151" t="s">
        <v>67</v>
      </c>
      <c r="B151" s="1" t="s">
        <v>19</v>
      </c>
      <c r="C151" t="s">
        <v>20</v>
      </c>
      <c r="D151" s="2">
        <v>110063353</v>
      </c>
      <c r="E151" s="2">
        <v>13231249</v>
      </c>
      <c r="F151" s="2">
        <v>8345625</v>
      </c>
      <c r="G151" s="2">
        <f t="shared" si="4"/>
        <v>21576874</v>
      </c>
      <c r="H151">
        <f t="shared" si="5"/>
        <v>0.196040493151249</v>
      </c>
    </row>
    <row r="152" spans="1:8">
      <c r="A152" t="s">
        <v>67</v>
      </c>
      <c r="B152" s="1" t="s">
        <v>21</v>
      </c>
      <c r="C152" t="s">
        <v>22</v>
      </c>
      <c r="D152" s="2">
        <v>230337979</v>
      </c>
      <c r="E152" s="2">
        <v>49216757</v>
      </c>
      <c r="F152" s="2">
        <v>399682546</v>
      </c>
      <c r="G152" s="2">
        <f t="shared" si="4"/>
        <v>448899303</v>
      </c>
      <c r="H152">
        <f t="shared" si="5"/>
        <v>1.9488722830202483</v>
      </c>
    </row>
    <row r="153" spans="1:8">
      <c r="A153" t="s">
        <v>67</v>
      </c>
      <c r="B153" s="1" t="s">
        <v>23</v>
      </c>
      <c r="C153" t="s">
        <v>24</v>
      </c>
      <c r="D153" s="2">
        <v>352262507</v>
      </c>
      <c r="E153" s="2">
        <v>10508916</v>
      </c>
      <c r="F153" s="2">
        <v>16924123</v>
      </c>
      <c r="G153" s="2">
        <f t="shared" si="4"/>
        <v>27433039</v>
      </c>
      <c r="H153">
        <f t="shared" si="5"/>
        <v>7.7876692679076404E-2</v>
      </c>
    </row>
    <row r="154" spans="1:8">
      <c r="A154" t="s">
        <v>67</v>
      </c>
      <c r="B154" s="1" t="s">
        <v>25</v>
      </c>
      <c r="C154" t="s">
        <v>26</v>
      </c>
      <c r="D154" s="2">
        <v>250751120</v>
      </c>
      <c r="E154" s="2">
        <v>10420886</v>
      </c>
      <c r="F154" s="2">
        <v>16709051</v>
      </c>
      <c r="G154" s="2">
        <f t="shared" si="4"/>
        <v>27129937</v>
      </c>
      <c r="H154">
        <f t="shared" si="5"/>
        <v>0.1081946792500867</v>
      </c>
    </row>
    <row r="155" spans="1:8">
      <c r="A155" t="s">
        <v>67</v>
      </c>
      <c r="B155">
        <v>10000</v>
      </c>
      <c r="C155" t="s">
        <v>27</v>
      </c>
      <c r="D155" s="2">
        <v>244282776</v>
      </c>
      <c r="E155" s="2">
        <v>10508650</v>
      </c>
      <c r="F155" s="2">
        <v>12019437</v>
      </c>
      <c r="G155" s="2">
        <f t="shared" si="4"/>
        <v>22528087</v>
      </c>
      <c r="H155">
        <f t="shared" si="5"/>
        <v>9.2221348426137092E-2</v>
      </c>
    </row>
    <row r="156" spans="1:8">
      <c r="A156" t="s">
        <v>67</v>
      </c>
      <c r="B156">
        <v>11000</v>
      </c>
      <c r="C156" t="s">
        <v>28</v>
      </c>
      <c r="D156" s="2">
        <v>761436427</v>
      </c>
      <c r="E156" s="2">
        <v>5973669</v>
      </c>
      <c r="F156" s="2">
        <v>35071006</v>
      </c>
      <c r="G156" s="2">
        <f t="shared" si="4"/>
        <v>41044675</v>
      </c>
      <c r="H156">
        <f t="shared" si="5"/>
        <v>5.3904270329845932E-2</v>
      </c>
    </row>
    <row r="157" spans="1:8">
      <c r="A157" t="s">
        <v>67</v>
      </c>
      <c r="B157">
        <v>12000</v>
      </c>
      <c r="C157" t="s">
        <v>29</v>
      </c>
      <c r="D157" s="2">
        <v>711451072</v>
      </c>
      <c r="E157" s="2">
        <v>21602889</v>
      </c>
      <c r="F157" s="2">
        <v>43146500</v>
      </c>
      <c r="G157" s="2">
        <f t="shared" si="4"/>
        <v>64749389</v>
      </c>
      <c r="H157">
        <f t="shared" si="5"/>
        <v>9.1010318978056157E-2</v>
      </c>
    </row>
    <row r="158" spans="1:8">
      <c r="A158" t="s">
        <v>67</v>
      </c>
      <c r="B158">
        <v>13000</v>
      </c>
      <c r="C158" t="s">
        <v>30</v>
      </c>
      <c r="D158" s="2">
        <v>4734915193</v>
      </c>
      <c r="E158" s="2">
        <v>49472268</v>
      </c>
      <c r="F158" s="2">
        <v>92858532</v>
      </c>
      <c r="G158" s="2">
        <f t="shared" si="4"/>
        <v>142330800</v>
      </c>
      <c r="H158">
        <f t="shared" si="5"/>
        <v>3.0059841454060019E-2</v>
      </c>
    </row>
    <row r="159" spans="1:8">
      <c r="A159" t="s">
        <v>67</v>
      </c>
      <c r="B159">
        <v>14000</v>
      </c>
      <c r="C159" t="s">
        <v>31</v>
      </c>
      <c r="D159" s="2">
        <v>1110111593</v>
      </c>
      <c r="E159" s="2">
        <v>4240676</v>
      </c>
      <c r="F159" s="2">
        <v>47381002</v>
      </c>
      <c r="G159" s="2">
        <f t="shared" si="4"/>
        <v>51621678</v>
      </c>
      <c r="H159">
        <f t="shared" si="5"/>
        <v>4.6501341239483837E-2</v>
      </c>
    </row>
    <row r="160" spans="1:8">
      <c r="A160" t="s">
        <v>67</v>
      </c>
      <c r="B160">
        <v>15000</v>
      </c>
      <c r="C160" t="s">
        <v>32</v>
      </c>
      <c r="D160" s="2">
        <v>256931757</v>
      </c>
      <c r="E160" s="2">
        <v>38205779</v>
      </c>
      <c r="F160" s="2">
        <v>24072197</v>
      </c>
      <c r="G160" s="2">
        <f t="shared" si="4"/>
        <v>62277976</v>
      </c>
      <c r="H160">
        <f t="shared" si="5"/>
        <v>0.24239111866580199</v>
      </c>
    </row>
    <row r="161" spans="1:8">
      <c r="A161" t="s">
        <v>67</v>
      </c>
      <c r="B161">
        <v>16000</v>
      </c>
      <c r="C161" t="s">
        <v>33</v>
      </c>
      <c r="D161" s="2">
        <v>129068731</v>
      </c>
      <c r="E161" s="2">
        <v>11864107</v>
      </c>
      <c r="F161" s="2">
        <v>7470237</v>
      </c>
      <c r="G161" s="2">
        <f t="shared" si="4"/>
        <v>19334344</v>
      </c>
      <c r="H161">
        <f t="shared" si="5"/>
        <v>0.1497988230782249</v>
      </c>
    </row>
    <row r="162" spans="1:8">
      <c r="A162" t="s">
        <v>67</v>
      </c>
      <c r="B162">
        <v>17000</v>
      </c>
      <c r="C162" t="s">
        <v>34</v>
      </c>
      <c r="D162" s="2">
        <v>139911977</v>
      </c>
      <c r="E162" s="2">
        <v>11075719</v>
      </c>
      <c r="F162" s="2">
        <v>11026538</v>
      </c>
      <c r="G162" s="2">
        <f t="shared" si="4"/>
        <v>22102257</v>
      </c>
      <c r="H162">
        <f t="shared" si="5"/>
        <v>0.15797258729322367</v>
      </c>
    </row>
    <row r="163" spans="1:8">
      <c r="A163" t="s">
        <v>67</v>
      </c>
      <c r="B163">
        <v>18000</v>
      </c>
      <c r="C163" t="s">
        <v>35</v>
      </c>
      <c r="D163" s="2">
        <v>101975814</v>
      </c>
      <c r="E163" s="2">
        <v>12516460</v>
      </c>
      <c r="F163" s="2">
        <v>8247843</v>
      </c>
      <c r="G163" s="2">
        <f t="shared" si="4"/>
        <v>20764303</v>
      </c>
      <c r="H163">
        <f t="shared" si="5"/>
        <v>0.20361987990603342</v>
      </c>
    </row>
    <row r="164" spans="1:8">
      <c r="A164" t="s">
        <v>67</v>
      </c>
      <c r="B164">
        <v>19000</v>
      </c>
      <c r="C164" t="s">
        <v>36</v>
      </c>
      <c r="D164" s="2">
        <v>97854038</v>
      </c>
      <c r="E164" s="2">
        <v>15918770</v>
      </c>
      <c r="F164" s="2">
        <v>5027952</v>
      </c>
      <c r="G164" s="2">
        <f t="shared" si="4"/>
        <v>20946722</v>
      </c>
      <c r="H164">
        <f t="shared" si="5"/>
        <v>0.21406088525442354</v>
      </c>
    </row>
    <row r="165" spans="1:8">
      <c r="A165" t="s">
        <v>67</v>
      </c>
      <c r="B165">
        <v>20000</v>
      </c>
      <c r="C165" t="s">
        <v>37</v>
      </c>
      <c r="D165" s="2">
        <v>234577201</v>
      </c>
      <c r="E165" s="2">
        <v>21275597</v>
      </c>
      <c r="F165" s="2">
        <v>11333838</v>
      </c>
      <c r="G165" s="2">
        <f t="shared" si="4"/>
        <v>32609435</v>
      </c>
      <c r="H165">
        <f t="shared" si="5"/>
        <v>0.13901365887642253</v>
      </c>
    </row>
    <row r="166" spans="1:8">
      <c r="A166" t="s">
        <v>67</v>
      </c>
      <c r="B166">
        <v>21000</v>
      </c>
      <c r="C166" t="s">
        <v>38</v>
      </c>
      <c r="D166" s="2">
        <v>226996898</v>
      </c>
      <c r="E166" s="2">
        <v>19488253</v>
      </c>
      <c r="F166" s="2">
        <v>8744582</v>
      </c>
      <c r="G166" s="2">
        <f t="shared" si="4"/>
        <v>28232835</v>
      </c>
      <c r="H166">
        <f t="shared" si="5"/>
        <v>0.12437542208175902</v>
      </c>
    </row>
    <row r="167" spans="1:8">
      <c r="A167" t="s">
        <v>67</v>
      </c>
      <c r="B167">
        <v>22000</v>
      </c>
      <c r="C167" t="s">
        <v>39</v>
      </c>
      <c r="D167" s="2">
        <v>487421132</v>
      </c>
      <c r="E167" s="2">
        <v>16188214</v>
      </c>
      <c r="F167" s="2">
        <v>20287218</v>
      </c>
      <c r="G167" s="2">
        <f t="shared" si="4"/>
        <v>36475432</v>
      </c>
      <c r="H167">
        <f t="shared" si="5"/>
        <v>7.4833505577267423E-2</v>
      </c>
    </row>
    <row r="168" spans="1:8">
      <c r="A168" t="s">
        <v>67</v>
      </c>
      <c r="B168">
        <v>23000</v>
      </c>
      <c r="C168" t="s">
        <v>40</v>
      </c>
      <c r="D168" s="2">
        <v>1139934861</v>
      </c>
      <c r="E168" s="2">
        <v>19277853</v>
      </c>
      <c r="F168" s="2">
        <v>19504488</v>
      </c>
      <c r="G168" s="2">
        <f t="shared" si="4"/>
        <v>38782341</v>
      </c>
      <c r="H168">
        <f t="shared" si="5"/>
        <v>3.4021541341387226E-2</v>
      </c>
    </row>
    <row r="169" spans="1:8">
      <c r="A169" t="s">
        <v>67</v>
      </c>
      <c r="B169">
        <v>24000</v>
      </c>
      <c r="C169" t="s">
        <v>41</v>
      </c>
      <c r="D169" s="2">
        <v>226757270</v>
      </c>
      <c r="E169" s="2">
        <v>11457475</v>
      </c>
      <c r="F169" s="2">
        <v>10862185</v>
      </c>
      <c r="G169" s="2">
        <f t="shared" si="4"/>
        <v>22319660</v>
      </c>
      <c r="H169">
        <f t="shared" si="5"/>
        <v>9.8429743840186462E-2</v>
      </c>
    </row>
    <row r="170" spans="1:8">
      <c r="A170" t="s">
        <v>67</v>
      </c>
      <c r="B170">
        <v>25000</v>
      </c>
      <c r="C170" t="s">
        <v>42</v>
      </c>
      <c r="D170" s="2">
        <v>161414568</v>
      </c>
      <c r="E170" s="2">
        <v>6370931</v>
      </c>
      <c r="F170" s="2">
        <v>10408455</v>
      </c>
      <c r="G170" s="2">
        <f t="shared" si="4"/>
        <v>16779386</v>
      </c>
      <c r="H170">
        <f t="shared" si="5"/>
        <v>0.10395211663918712</v>
      </c>
    </row>
    <row r="171" spans="1:8">
      <c r="A171" t="s">
        <v>67</v>
      </c>
      <c r="B171">
        <v>26000</v>
      </c>
      <c r="C171" t="s">
        <v>43</v>
      </c>
      <c r="D171" s="2">
        <v>285135289</v>
      </c>
      <c r="E171" s="2">
        <v>7275817</v>
      </c>
      <c r="F171" s="2">
        <v>28116388</v>
      </c>
      <c r="G171" s="2">
        <f t="shared" si="4"/>
        <v>35392205</v>
      </c>
      <c r="H171">
        <f t="shared" si="5"/>
        <v>0.12412425387304481</v>
      </c>
    </row>
    <row r="172" spans="1:8">
      <c r="A172" t="s">
        <v>67</v>
      </c>
      <c r="B172">
        <v>27000</v>
      </c>
      <c r="C172" t="s">
        <v>44</v>
      </c>
      <c r="D172" s="2">
        <v>1100318955</v>
      </c>
      <c r="E172" s="2">
        <v>9359164</v>
      </c>
      <c r="F172" s="2">
        <v>46996427</v>
      </c>
      <c r="G172" s="2">
        <f t="shared" si="4"/>
        <v>56355591</v>
      </c>
      <c r="H172">
        <f t="shared" si="5"/>
        <v>5.1217504473509687E-2</v>
      </c>
    </row>
    <row r="173" spans="1:8">
      <c r="A173" t="s">
        <v>67</v>
      </c>
      <c r="B173">
        <v>28000</v>
      </c>
      <c r="C173" t="s">
        <v>45</v>
      </c>
      <c r="D173" s="2">
        <v>631351474</v>
      </c>
      <c r="E173" s="2">
        <v>25657647</v>
      </c>
      <c r="F173" s="2">
        <v>21958610</v>
      </c>
      <c r="G173" s="2">
        <f t="shared" si="4"/>
        <v>47616257</v>
      </c>
      <c r="H173">
        <f t="shared" si="5"/>
        <v>7.5419570494263233E-2</v>
      </c>
    </row>
    <row r="174" spans="1:8">
      <c r="A174" t="s">
        <v>67</v>
      </c>
      <c r="B174">
        <v>29000</v>
      </c>
      <c r="C174" t="s">
        <v>46</v>
      </c>
      <c r="D174" s="2">
        <v>126002676</v>
      </c>
      <c r="E174" s="2">
        <v>13661996</v>
      </c>
      <c r="F174" s="2">
        <v>8025805</v>
      </c>
      <c r="G174" s="2">
        <f t="shared" si="4"/>
        <v>21687801</v>
      </c>
      <c r="H174">
        <f t="shared" si="5"/>
        <v>0.17212174922380219</v>
      </c>
    </row>
    <row r="175" spans="1:8">
      <c r="A175" t="s">
        <v>67</v>
      </c>
      <c r="B175">
        <v>30000</v>
      </c>
      <c r="C175" t="s">
        <v>47</v>
      </c>
      <c r="D175" s="2">
        <v>92987827</v>
      </c>
      <c r="E175" s="2">
        <v>15718096</v>
      </c>
      <c r="F175" s="2">
        <v>8943262</v>
      </c>
      <c r="G175" s="2">
        <f t="shared" si="4"/>
        <v>24661358</v>
      </c>
      <c r="H175">
        <f t="shared" si="5"/>
        <v>0.2652106065453062</v>
      </c>
    </row>
    <row r="176" spans="1:8">
      <c r="A176" t="s">
        <v>67</v>
      </c>
      <c r="B176">
        <v>31000</v>
      </c>
      <c r="C176" t="s">
        <v>48</v>
      </c>
      <c r="D176" s="2">
        <v>55213098</v>
      </c>
      <c r="E176" s="2">
        <v>9627739</v>
      </c>
      <c r="F176" s="2">
        <v>7811412</v>
      </c>
      <c r="G176" s="2">
        <f t="shared" si="4"/>
        <v>17439151</v>
      </c>
      <c r="H176">
        <f t="shared" si="5"/>
        <v>0.31585170243480992</v>
      </c>
    </row>
    <row r="177" spans="1:8">
      <c r="A177" t="s">
        <v>67</v>
      </c>
      <c r="B177">
        <v>32000</v>
      </c>
      <c r="C177" t="s">
        <v>49</v>
      </c>
      <c r="D177" s="2">
        <v>68429128</v>
      </c>
      <c r="E177" s="2">
        <v>18175872</v>
      </c>
      <c r="F177" s="2">
        <v>10937489</v>
      </c>
      <c r="G177" s="2">
        <f t="shared" si="4"/>
        <v>29113361</v>
      </c>
      <c r="H177">
        <f t="shared" si="5"/>
        <v>0.42545275456381676</v>
      </c>
    </row>
    <row r="178" spans="1:8">
      <c r="A178" t="s">
        <v>67</v>
      </c>
      <c r="B178">
        <v>33000</v>
      </c>
      <c r="C178" t="s">
        <v>50</v>
      </c>
      <c r="D178" s="2">
        <v>211906439</v>
      </c>
      <c r="E178" s="2">
        <v>11052706</v>
      </c>
      <c r="F178" s="2">
        <v>12425521</v>
      </c>
      <c r="G178" s="2">
        <f t="shared" si="4"/>
        <v>23478227</v>
      </c>
      <c r="H178">
        <f t="shared" si="5"/>
        <v>0.11079525053979129</v>
      </c>
    </row>
    <row r="179" spans="1:8">
      <c r="A179" t="s">
        <v>67</v>
      </c>
      <c r="B179">
        <v>34000</v>
      </c>
      <c r="C179" t="s">
        <v>51</v>
      </c>
      <c r="D179" s="2">
        <v>324264301</v>
      </c>
      <c r="E179" s="2">
        <v>9335518</v>
      </c>
      <c r="F179" s="2">
        <v>25461398</v>
      </c>
      <c r="G179" s="2">
        <f t="shared" si="4"/>
        <v>34796916</v>
      </c>
      <c r="H179">
        <f t="shared" si="5"/>
        <v>0.10731035113236224</v>
      </c>
    </row>
    <row r="180" spans="1:8">
      <c r="A180" t="s">
        <v>67</v>
      </c>
      <c r="B180">
        <v>35000</v>
      </c>
      <c r="C180" t="s">
        <v>52</v>
      </c>
      <c r="D180" s="2">
        <v>150927266</v>
      </c>
      <c r="E180" s="2">
        <v>13626259</v>
      </c>
      <c r="F180" s="2">
        <v>14617109</v>
      </c>
      <c r="G180" s="2">
        <f t="shared" si="4"/>
        <v>28243368</v>
      </c>
      <c r="H180">
        <f t="shared" si="5"/>
        <v>0.18713231047331103</v>
      </c>
    </row>
    <row r="181" spans="1:8">
      <c r="A181" t="s">
        <v>67</v>
      </c>
      <c r="B181">
        <v>36000</v>
      </c>
      <c r="C181" t="s">
        <v>53</v>
      </c>
      <c r="D181" s="2">
        <v>84980791</v>
      </c>
      <c r="E181" s="2">
        <v>10912672</v>
      </c>
      <c r="F181" s="2">
        <v>9071673</v>
      </c>
      <c r="G181" s="2">
        <f t="shared" si="4"/>
        <v>19984345</v>
      </c>
      <c r="H181">
        <f t="shared" si="5"/>
        <v>0.23516308526711643</v>
      </c>
    </row>
    <row r="182" spans="1:8">
      <c r="A182" t="s">
        <v>67</v>
      </c>
      <c r="B182">
        <v>37000</v>
      </c>
      <c r="C182" t="s">
        <v>54</v>
      </c>
      <c r="D182" s="2">
        <v>115885799</v>
      </c>
      <c r="E182" s="2">
        <v>8354931</v>
      </c>
      <c r="F182" s="2">
        <v>9092309</v>
      </c>
      <c r="G182" s="2">
        <f t="shared" si="4"/>
        <v>17447240</v>
      </c>
      <c r="H182">
        <f t="shared" si="5"/>
        <v>0.15055546193369215</v>
      </c>
    </row>
    <row r="183" spans="1:8">
      <c r="A183" t="s">
        <v>67</v>
      </c>
      <c r="B183">
        <v>38000</v>
      </c>
      <c r="C183" t="s">
        <v>55</v>
      </c>
      <c r="D183" s="2">
        <v>138309905</v>
      </c>
      <c r="E183" s="2">
        <v>11958895</v>
      </c>
      <c r="F183" s="2">
        <v>7113807</v>
      </c>
      <c r="G183" s="2">
        <f t="shared" si="4"/>
        <v>19072702</v>
      </c>
      <c r="H183">
        <f t="shared" si="5"/>
        <v>0.13789830887382939</v>
      </c>
    </row>
    <row r="184" spans="1:8">
      <c r="A184" t="s">
        <v>67</v>
      </c>
      <c r="B184">
        <v>39000</v>
      </c>
      <c r="C184" t="s">
        <v>56</v>
      </c>
      <c r="D184" s="2">
        <v>66780454</v>
      </c>
      <c r="E184" s="2">
        <v>10912268</v>
      </c>
      <c r="F184" s="2">
        <v>8189042</v>
      </c>
      <c r="G184" s="2">
        <f t="shared" si="4"/>
        <v>19101310</v>
      </c>
      <c r="H184">
        <f t="shared" si="5"/>
        <v>0.28603144866310731</v>
      </c>
    </row>
    <row r="185" spans="1:8">
      <c r="A185" t="s">
        <v>67</v>
      </c>
      <c r="B185">
        <v>40000</v>
      </c>
      <c r="C185" t="s">
        <v>57</v>
      </c>
      <c r="D185" s="2">
        <v>551620958</v>
      </c>
      <c r="E185" s="2">
        <v>30294436</v>
      </c>
      <c r="F185" s="2">
        <v>29843515</v>
      </c>
      <c r="G185" s="2">
        <f t="shared" si="4"/>
        <v>60137951</v>
      </c>
      <c r="H185">
        <f t="shared" si="5"/>
        <v>0.10902042449228334</v>
      </c>
    </row>
    <row r="186" spans="1:8">
      <c r="A186" t="s">
        <v>67</v>
      </c>
      <c r="B186">
        <v>41000</v>
      </c>
      <c r="C186" t="s">
        <v>58</v>
      </c>
      <c r="D186" s="2">
        <v>86107625</v>
      </c>
      <c r="E186" s="2">
        <v>14742969</v>
      </c>
      <c r="F186" s="2">
        <v>5297345</v>
      </c>
      <c r="G186" s="2">
        <f t="shared" si="4"/>
        <v>20040314</v>
      </c>
      <c r="H186">
        <f t="shared" si="5"/>
        <v>0.23273564913676345</v>
      </c>
    </row>
    <row r="187" spans="1:8">
      <c r="A187" t="s">
        <v>67</v>
      </c>
      <c r="B187">
        <v>42000</v>
      </c>
      <c r="C187" t="s">
        <v>59</v>
      </c>
      <c r="D187" s="2">
        <v>118455494</v>
      </c>
      <c r="E187" s="2">
        <v>28153809</v>
      </c>
      <c r="F187" s="2">
        <v>17380130</v>
      </c>
      <c r="G187" s="2">
        <f t="shared" si="4"/>
        <v>45533939</v>
      </c>
      <c r="H187">
        <f t="shared" si="5"/>
        <v>0.38439702087604311</v>
      </c>
    </row>
    <row r="188" spans="1:8">
      <c r="A188" t="s">
        <v>67</v>
      </c>
      <c r="B188">
        <v>43000</v>
      </c>
      <c r="C188" t="s">
        <v>60</v>
      </c>
      <c r="D188" s="2">
        <v>166642145</v>
      </c>
      <c r="E188" s="2">
        <v>35512026</v>
      </c>
      <c r="F188" s="2">
        <v>24387538</v>
      </c>
      <c r="G188" s="2">
        <f t="shared" si="4"/>
        <v>59899564</v>
      </c>
      <c r="H188">
        <f t="shared" si="5"/>
        <v>0.35945026991821305</v>
      </c>
    </row>
    <row r="189" spans="1:8">
      <c r="A189" t="s">
        <v>67</v>
      </c>
      <c r="B189">
        <v>44000</v>
      </c>
      <c r="C189" t="s">
        <v>61</v>
      </c>
      <c r="D189" s="2">
        <v>112854921</v>
      </c>
      <c r="E189" s="2">
        <v>21362598</v>
      </c>
      <c r="F189" s="2">
        <v>11306311</v>
      </c>
      <c r="G189" s="2">
        <f t="shared" si="4"/>
        <v>32668909</v>
      </c>
      <c r="H189">
        <f t="shared" si="5"/>
        <v>0.28947704460313256</v>
      </c>
    </row>
    <row r="190" spans="1:8">
      <c r="A190" t="s">
        <v>67</v>
      </c>
      <c r="B190">
        <v>45000</v>
      </c>
      <c r="C190" t="s">
        <v>62</v>
      </c>
      <c r="D190" s="2">
        <v>101074266</v>
      </c>
      <c r="E190" s="2">
        <v>26727219</v>
      </c>
      <c r="F190" s="2">
        <v>11051299</v>
      </c>
      <c r="G190" s="2">
        <f t="shared" si="4"/>
        <v>37778518</v>
      </c>
      <c r="H190">
        <f t="shared" si="5"/>
        <v>0.37376989707746183</v>
      </c>
    </row>
    <row r="191" spans="1:8">
      <c r="A191" t="s">
        <v>67</v>
      </c>
      <c r="B191">
        <v>46000</v>
      </c>
      <c r="C191" t="s">
        <v>63</v>
      </c>
      <c r="D191" s="2">
        <v>144491640</v>
      </c>
      <c r="E191" s="2">
        <v>39268716</v>
      </c>
      <c r="F191" s="2">
        <v>16361156</v>
      </c>
      <c r="G191" s="2">
        <f t="shared" si="4"/>
        <v>55629872</v>
      </c>
      <c r="H191">
        <f t="shared" si="5"/>
        <v>0.38500408743370895</v>
      </c>
    </row>
    <row r="192" spans="1:8">
      <c r="A192" t="s">
        <v>67</v>
      </c>
      <c r="B192">
        <v>47000</v>
      </c>
      <c r="C192" t="s">
        <v>64</v>
      </c>
      <c r="D192" s="2">
        <v>111895353</v>
      </c>
      <c r="E192" s="2">
        <v>116525268</v>
      </c>
      <c r="F192" s="2">
        <v>76765423</v>
      </c>
      <c r="G192" s="2">
        <f t="shared" si="4"/>
        <v>193290691</v>
      </c>
      <c r="H192">
        <f t="shared" si="5"/>
        <v>1.7274237563735109</v>
      </c>
    </row>
    <row r="193" spans="1:8">
      <c r="A193" t="s">
        <v>68</v>
      </c>
      <c r="B193" s="1" t="s">
        <v>7</v>
      </c>
      <c r="C193" t="s">
        <v>8</v>
      </c>
      <c r="D193" s="2">
        <v>16809190048</v>
      </c>
      <c r="E193" s="2">
        <v>1159067242</v>
      </c>
      <c r="F193" s="2">
        <v>1483153711</v>
      </c>
      <c r="G193" s="2">
        <f t="shared" si="4"/>
        <v>2642220953</v>
      </c>
      <c r="H193">
        <f t="shared" si="5"/>
        <v>0.15718907011313005</v>
      </c>
    </row>
    <row r="194" spans="1:8">
      <c r="A194" t="s">
        <v>68</v>
      </c>
      <c r="B194" s="1" t="s">
        <v>9</v>
      </c>
      <c r="C194" t="s">
        <v>10</v>
      </c>
      <c r="D194" s="2">
        <v>554177754</v>
      </c>
      <c r="E194" s="2">
        <v>99023884</v>
      </c>
      <c r="F194" s="2">
        <v>51482737</v>
      </c>
      <c r="G194" s="2">
        <f t="shared" si="4"/>
        <v>150506621</v>
      </c>
      <c r="H194">
        <f t="shared" si="5"/>
        <v>0.27158546136805051</v>
      </c>
    </row>
    <row r="195" spans="1:8">
      <c r="A195" t="s">
        <v>68</v>
      </c>
      <c r="B195" s="1" t="s">
        <v>11</v>
      </c>
      <c r="C195" t="s">
        <v>12</v>
      </c>
      <c r="D195" s="2">
        <v>135733432</v>
      </c>
      <c r="E195" s="2">
        <v>29132287</v>
      </c>
      <c r="F195" s="2">
        <v>17021139</v>
      </c>
      <c r="G195" s="2">
        <f t="shared" ref="G195:G258" si="6">E195+F195</f>
        <v>46153426</v>
      </c>
      <c r="H195">
        <f t="shared" ref="H195:H258" si="7">G195/D195</f>
        <v>0.34002990508631653</v>
      </c>
    </row>
    <row r="196" spans="1:8">
      <c r="A196" t="s">
        <v>68</v>
      </c>
      <c r="B196" s="1" t="s">
        <v>13</v>
      </c>
      <c r="C196" t="s">
        <v>14</v>
      </c>
      <c r="D196" s="2">
        <v>124914344</v>
      </c>
      <c r="E196" s="2">
        <v>23151537</v>
      </c>
      <c r="F196" s="2">
        <v>31367581</v>
      </c>
      <c r="G196" s="2">
        <f t="shared" si="6"/>
        <v>54519118</v>
      </c>
      <c r="H196">
        <f t="shared" si="7"/>
        <v>0.43645202187508586</v>
      </c>
    </row>
    <row r="197" spans="1:8">
      <c r="A197" t="s">
        <v>68</v>
      </c>
      <c r="B197" s="1" t="s">
        <v>15</v>
      </c>
      <c r="C197" t="s">
        <v>16</v>
      </c>
      <c r="D197" s="2">
        <v>266347792</v>
      </c>
      <c r="E197" s="2">
        <v>27056138</v>
      </c>
      <c r="F197" s="2">
        <v>106307552</v>
      </c>
      <c r="G197" s="2">
        <f t="shared" si="6"/>
        <v>133363690</v>
      </c>
      <c r="H197">
        <f t="shared" si="7"/>
        <v>0.50071257958842019</v>
      </c>
    </row>
    <row r="198" spans="1:8">
      <c r="A198" t="s">
        <v>68</v>
      </c>
      <c r="B198" s="1" t="s">
        <v>17</v>
      </c>
      <c r="C198" t="s">
        <v>18</v>
      </c>
      <c r="D198" s="2">
        <v>93158795</v>
      </c>
      <c r="E198" s="2">
        <v>25428763</v>
      </c>
      <c r="F198" s="2">
        <v>9794901</v>
      </c>
      <c r="G198" s="2">
        <f t="shared" si="6"/>
        <v>35223664</v>
      </c>
      <c r="H198">
        <f t="shared" si="7"/>
        <v>0.37810347375145847</v>
      </c>
    </row>
    <row r="199" spans="1:8">
      <c r="A199" t="s">
        <v>68</v>
      </c>
      <c r="B199" s="1" t="s">
        <v>19</v>
      </c>
      <c r="C199" t="s">
        <v>20</v>
      </c>
      <c r="D199" s="2">
        <v>104543928</v>
      </c>
      <c r="E199" s="2">
        <v>15857933</v>
      </c>
      <c r="F199" s="2">
        <v>11499410</v>
      </c>
      <c r="G199" s="2">
        <f t="shared" si="6"/>
        <v>27357343</v>
      </c>
      <c r="H199">
        <f t="shared" si="7"/>
        <v>0.26168275406678809</v>
      </c>
    </row>
    <row r="200" spans="1:8">
      <c r="A200" t="s">
        <v>68</v>
      </c>
      <c r="B200" s="1" t="s">
        <v>21</v>
      </c>
      <c r="C200" t="s">
        <v>22</v>
      </c>
      <c r="D200" s="2">
        <v>214130227</v>
      </c>
      <c r="E200" s="2">
        <v>49016125</v>
      </c>
      <c r="F200" s="2">
        <v>369180294</v>
      </c>
      <c r="G200" s="2">
        <f t="shared" si="6"/>
        <v>418196419</v>
      </c>
      <c r="H200">
        <f t="shared" si="7"/>
        <v>1.9530004000789669</v>
      </c>
    </row>
    <row r="201" spans="1:8">
      <c r="A201" t="s">
        <v>68</v>
      </c>
      <c r="B201" s="1" t="s">
        <v>23</v>
      </c>
      <c r="C201" t="s">
        <v>24</v>
      </c>
      <c r="D201" s="2">
        <v>336148906</v>
      </c>
      <c r="E201" s="2">
        <v>14388667</v>
      </c>
      <c r="F201" s="2">
        <v>16885054</v>
      </c>
      <c r="G201" s="2">
        <f t="shared" si="6"/>
        <v>31273721</v>
      </c>
      <c r="H201">
        <f t="shared" si="7"/>
        <v>9.3035319888859019E-2</v>
      </c>
    </row>
    <row r="202" spans="1:8">
      <c r="A202" t="s">
        <v>68</v>
      </c>
      <c r="B202" s="1" t="s">
        <v>25</v>
      </c>
      <c r="C202" t="s">
        <v>26</v>
      </c>
      <c r="D202" s="2">
        <v>235507446</v>
      </c>
      <c r="E202" s="2">
        <v>14143127</v>
      </c>
      <c r="F202" s="2">
        <v>14199393</v>
      </c>
      <c r="G202" s="2">
        <f t="shared" si="6"/>
        <v>28342520</v>
      </c>
      <c r="H202">
        <f t="shared" si="7"/>
        <v>0.12034659829821262</v>
      </c>
    </row>
    <row r="203" spans="1:8">
      <c r="A203" t="s">
        <v>68</v>
      </c>
      <c r="B203">
        <v>10000</v>
      </c>
      <c r="C203" t="s">
        <v>27</v>
      </c>
      <c r="D203" s="2">
        <v>219213339</v>
      </c>
      <c r="E203" s="2">
        <v>13856708</v>
      </c>
      <c r="F203" s="2">
        <v>12187242</v>
      </c>
      <c r="G203" s="2">
        <f t="shared" si="6"/>
        <v>26043950</v>
      </c>
      <c r="H203">
        <f t="shared" si="7"/>
        <v>0.11880641077229338</v>
      </c>
    </row>
    <row r="204" spans="1:8">
      <c r="A204" t="s">
        <v>68</v>
      </c>
      <c r="B204">
        <v>11000</v>
      </c>
      <c r="C204" t="s">
        <v>28</v>
      </c>
      <c r="D204" s="2">
        <v>724133899</v>
      </c>
      <c r="E204" s="2">
        <v>29537259</v>
      </c>
      <c r="F204" s="2">
        <v>2109641</v>
      </c>
      <c r="G204" s="2">
        <f t="shared" si="6"/>
        <v>31646900</v>
      </c>
      <c r="H204">
        <f t="shared" si="7"/>
        <v>4.3703105245733016E-2</v>
      </c>
    </row>
    <row r="205" spans="1:8">
      <c r="A205" t="s">
        <v>68</v>
      </c>
      <c r="B205">
        <v>12000</v>
      </c>
      <c r="C205" t="s">
        <v>29</v>
      </c>
      <c r="D205" s="2">
        <v>672676818</v>
      </c>
      <c r="E205" s="2">
        <v>24583361</v>
      </c>
      <c r="F205" s="2">
        <v>45020164</v>
      </c>
      <c r="G205" s="2">
        <f t="shared" si="6"/>
        <v>69603525</v>
      </c>
      <c r="H205">
        <f t="shared" si="7"/>
        <v>0.10347245978677386</v>
      </c>
    </row>
    <row r="206" spans="1:8">
      <c r="A206" t="s">
        <v>68</v>
      </c>
      <c r="B206">
        <v>13000</v>
      </c>
      <c r="C206" t="s">
        <v>30</v>
      </c>
      <c r="D206" s="2">
        <v>4534213943</v>
      </c>
      <c r="E206" s="2">
        <v>41255533</v>
      </c>
      <c r="F206" s="2">
        <v>89336192</v>
      </c>
      <c r="G206" s="2">
        <f t="shared" si="6"/>
        <v>130591725</v>
      </c>
      <c r="H206">
        <f t="shared" si="7"/>
        <v>2.8801403427734112E-2</v>
      </c>
    </row>
    <row r="207" spans="1:8">
      <c r="A207" t="s">
        <v>68</v>
      </c>
      <c r="B207">
        <v>14000</v>
      </c>
      <c r="C207" t="s">
        <v>31</v>
      </c>
      <c r="D207" s="2">
        <v>1059232892</v>
      </c>
      <c r="E207" s="2">
        <v>4065797</v>
      </c>
      <c r="F207" s="2">
        <v>26899522</v>
      </c>
      <c r="G207" s="2">
        <f t="shared" si="6"/>
        <v>30965319</v>
      </c>
      <c r="H207">
        <f t="shared" si="7"/>
        <v>2.9233721152231742E-2</v>
      </c>
    </row>
    <row r="208" spans="1:8">
      <c r="A208" t="s">
        <v>68</v>
      </c>
      <c r="B208">
        <v>15000</v>
      </c>
      <c r="C208" t="s">
        <v>32</v>
      </c>
      <c r="D208" s="2">
        <v>244600589</v>
      </c>
      <c r="E208" s="2">
        <v>46871998</v>
      </c>
      <c r="F208" s="2">
        <v>23351509</v>
      </c>
      <c r="G208" s="2">
        <f t="shared" si="6"/>
        <v>70223507</v>
      </c>
      <c r="H208">
        <f t="shared" si="7"/>
        <v>0.28709459485398048</v>
      </c>
    </row>
    <row r="209" spans="1:8">
      <c r="A209" t="s">
        <v>68</v>
      </c>
      <c r="B209">
        <v>16000</v>
      </c>
      <c r="C209" t="s">
        <v>33</v>
      </c>
      <c r="D209" s="2">
        <v>121596919</v>
      </c>
      <c r="E209" s="2">
        <v>16623456</v>
      </c>
      <c r="F209" s="2">
        <v>9598502</v>
      </c>
      <c r="G209" s="2">
        <f t="shared" si="6"/>
        <v>26221958</v>
      </c>
      <c r="H209">
        <f t="shared" si="7"/>
        <v>0.21564656584760999</v>
      </c>
    </row>
    <row r="210" spans="1:8">
      <c r="A210" t="s">
        <v>68</v>
      </c>
      <c r="B210">
        <v>17000</v>
      </c>
      <c r="C210" t="s">
        <v>34</v>
      </c>
      <c r="D210" s="2">
        <v>130912018</v>
      </c>
      <c r="E210" s="2">
        <v>13830591</v>
      </c>
      <c r="F210" s="2">
        <v>13771730</v>
      </c>
      <c r="G210" s="2">
        <f t="shared" si="6"/>
        <v>27602321</v>
      </c>
      <c r="H210">
        <f t="shared" si="7"/>
        <v>0.21084634872865529</v>
      </c>
    </row>
    <row r="211" spans="1:8">
      <c r="A211" t="s">
        <v>68</v>
      </c>
      <c r="B211">
        <v>18000</v>
      </c>
      <c r="C211" t="s">
        <v>35</v>
      </c>
      <c r="D211" s="2">
        <v>97154532</v>
      </c>
      <c r="E211" s="2">
        <v>12111121</v>
      </c>
      <c r="F211" s="2">
        <v>12365092</v>
      </c>
      <c r="G211" s="2">
        <f t="shared" si="6"/>
        <v>24476213</v>
      </c>
      <c r="H211">
        <f t="shared" si="7"/>
        <v>0.25193073854753373</v>
      </c>
    </row>
    <row r="212" spans="1:8">
      <c r="A212" t="s">
        <v>68</v>
      </c>
      <c r="B212">
        <v>19000</v>
      </c>
      <c r="C212" t="s">
        <v>36</v>
      </c>
      <c r="D212" s="2">
        <v>92513619</v>
      </c>
      <c r="E212" s="2">
        <v>20544459</v>
      </c>
      <c r="F212" s="2">
        <v>6476145</v>
      </c>
      <c r="G212" s="2">
        <f t="shared" si="6"/>
        <v>27020604</v>
      </c>
      <c r="H212">
        <f t="shared" si="7"/>
        <v>0.29207163542051034</v>
      </c>
    </row>
    <row r="213" spans="1:8">
      <c r="A213" t="s">
        <v>68</v>
      </c>
      <c r="B213">
        <v>20000</v>
      </c>
      <c r="C213" t="s">
        <v>37</v>
      </c>
      <c r="D213" s="2">
        <v>219792750</v>
      </c>
      <c r="E213" s="2">
        <v>19651624</v>
      </c>
      <c r="F213" s="2">
        <v>19954305</v>
      </c>
      <c r="G213" s="2">
        <f t="shared" si="6"/>
        <v>39605929</v>
      </c>
      <c r="H213">
        <f t="shared" si="7"/>
        <v>0.18019670348544253</v>
      </c>
    </row>
    <row r="214" spans="1:8">
      <c r="A214" t="s">
        <v>68</v>
      </c>
      <c r="B214">
        <v>21000</v>
      </c>
      <c r="C214" t="s">
        <v>38</v>
      </c>
      <c r="D214" s="2">
        <v>218874954</v>
      </c>
      <c r="E214" s="2">
        <v>21724632</v>
      </c>
      <c r="F214" s="2">
        <v>22487918</v>
      </c>
      <c r="G214" s="2">
        <f t="shared" si="6"/>
        <v>44212550</v>
      </c>
      <c r="H214">
        <f t="shared" si="7"/>
        <v>0.20199912868970837</v>
      </c>
    </row>
    <row r="215" spans="1:8">
      <c r="A215" t="s">
        <v>68</v>
      </c>
      <c r="B215">
        <v>22000</v>
      </c>
      <c r="C215" t="s">
        <v>39</v>
      </c>
      <c r="D215" s="2">
        <v>453521219</v>
      </c>
      <c r="E215" s="2">
        <v>20936098</v>
      </c>
      <c r="F215" s="2">
        <v>20190943</v>
      </c>
      <c r="G215" s="2">
        <f t="shared" si="6"/>
        <v>41127041</v>
      </c>
      <c r="H215">
        <f t="shared" si="7"/>
        <v>9.0683829723962703E-2</v>
      </c>
    </row>
    <row r="216" spans="1:8">
      <c r="A216" t="s">
        <v>68</v>
      </c>
      <c r="B216">
        <v>23000</v>
      </c>
      <c r="C216" t="s">
        <v>40</v>
      </c>
      <c r="D216" s="2">
        <v>997617641</v>
      </c>
      <c r="E216" s="2">
        <v>22605577</v>
      </c>
      <c r="F216" s="2">
        <v>27384266</v>
      </c>
      <c r="G216" s="2">
        <f t="shared" si="6"/>
        <v>49989843</v>
      </c>
      <c r="H216">
        <f t="shared" si="7"/>
        <v>5.0109221153999219E-2</v>
      </c>
    </row>
    <row r="217" spans="1:8">
      <c r="A217" t="s">
        <v>68</v>
      </c>
      <c r="B217">
        <v>24000</v>
      </c>
      <c r="C217" t="s">
        <v>41</v>
      </c>
      <c r="D217" s="2">
        <v>216303181</v>
      </c>
      <c r="E217" s="2">
        <v>16055916</v>
      </c>
      <c r="F217" s="2">
        <v>13398171</v>
      </c>
      <c r="G217" s="2">
        <f t="shared" si="6"/>
        <v>29454087</v>
      </c>
      <c r="H217">
        <f t="shared" si="7"/>
        <v>0.13617038299589315</v>
      </c>
    </row>
    <row r="218" spans="1:8">
      <c r="A218" t="s">
        <v>68</v>
      </c>
      <c r="B218">
        <v>25000</v>
      </c>
      <c r="C218" t="s">
        <v>42</v>
      </c>
      <c r="D218" s="2">
        <v>151946203</v>
      </c>
      <c r="E218" s="2">
        <v>9060410</v>
      </c>
      <c r="F218" s="2">
        <v>8722617</v>
      </c>
      <c r="G218" s="2">
        <f t="shared" si="6"/>
        <v>17783027</v>
      </c>
      <c r="H218">
        <f t="shared" si="7"/>
        <v>0.11703502061186748</v>
      </c>
    </row>
    <row r="219" spans="1:8">
      <c r="A219" t="s">
        <v>68</v>
      </c>
      <c r="B219">
        <v>26000</v>
      </c>
      <c r="C219" t="s">
        <v>43</v>
      </c>
      <c r="D219" s="2">
        <v>267774369</v>
      </c>
      <c r="E219" s="2">
        <v>10412114</v>
      </c>
      <c r="F219" s="2">
        <v>18380356</v>
      </c>
      <c r="G219" s="2">
        <f t="shared" si="6"/>
        <v>28792470</v>
      </c>
      <c r="H219">
        <f t="shared" si="7"/>
        <v>0.10752511566930441</v>
      </c>
    </row>
    <row r="220" spans="1:8">
      <c r="A220" t="s">
        <v>68</v>
      </c>
      <c r="B220">
        <v>27000</v>
      </c>
      <c r="C220" t="s">
        <v>44</v>
      </c>
      <c r="D220" s="2">
        <v>1044208920</v>
      </c>
      <c r="E220" s="2">
        <v>8591014</v>
      </c>
      <c r="F220" s="2">
        <v>49033681</v>
      </c>
      <c r="G220" s="2">
        <f t="shared" si="6"/>
        <v>57624695</v>
      </c>
      <c r="H220">
        <f t="shared" si="7"/>
        <v>5.5185024659624625E-2</v>
      </c>
    </row>
    <row r="221" spans="1:8">
      <c r="A221" t="s">
        <v>68</v>
      </c>
      <c r="B221">
        <v>28000</v>
      </c>
      <c r="C221" t="s">
        <v>45</v>
      </c>
      <c r="D221" s="2">
        <v>591529758</v>
      </c>
      <c r="E221" s="2">
        <v>32323999</v>
      </c>
      <c r="F221" s="2">
        <v>35138441</v>
      </c>
      <c r="G221" s="2">
        <f t="shared" si="6"/>
        <v>67462440</v>
      </c>
      <c r="H221">
        <f t="shared" si="7"/>
        <v>0.1140474153457551</v>
      </c>
    </row>
    <row r="222" spans="1:8">
      <c r="A222" t="s">
        <v>68</v>
      </c>
      <c r="B222">
        <v>29000</v>
      </c>
      <c r="C222" t="s">
        <v>46</v>
      </c>
      <c r="D222" s="2">
        <v>121249197</v>
      </c>
      <c r="E222" s="2">
        <v>12128110</v>
      </c>
      <c r="F222" s="2">
        <v>8300521</v>
      </c>
      <c r="G222" s="2">
        <f t="shared" si="6"/>
        <v>20428631</v>
      </c>
      <c r="H222">
        <f t="shared" si="7"/>
        <v>0.1684846704593021</v>
      </c>
    </row>
    <row r="223" spans="1:8">
      <c r="A223" t="s">
        <v>68</v>
      </c>
      <c r="B223">
        <v>30000</v>
      </c>
      <c r="C223" t="s">
        <v>47</v>
      </c>
      <c r="D223" s="2">
        <v>89209755</v>
      </c>
      <c r="E223" s="2">
        <v>19973454</v>
      </c>
      <c r="F223" s="2">
        <v>7586668</v>
      </c>
      <c r="G223" s="2">
        <f t="shared" si="6"/>
        <v>27560122</v>
      </c>
      <c r="H223">
        <f t="shared" si="7"/>
        <v>0.30893619201173683</v>
      </c>
    </row>
    <row r="224" spans="1:8">
      <c r="A224" t="s">
        <v>68</v>
      </c>
      <c r="B224">
        <v>31000</v>
      </c>
      <c r="C224" t="s">
        <v>48</v>
      </c>
      <c r="D224" s="2">
        <v>52316154</v>
      </c>
      <c r="E224" s="2">
        <v>2656268</v>
      </c>
      <c r="F224" s="2">
        <v>16613393</v>
      </c>
      <c r="G224" s="2">
        <f t="shared" si="6"/>
        <v>19269661</v>
      </c>
      <c r="H224">
        <f t="shared" si="7"/>
        <v>0.36833099390295393</v>
      </c>
    </row>
    <row r="225" spans="1:8">
      <c r="A225" t="s">
        <v>68</v>
      </c>
      <c r="B225">
        <v>32000</v>
      </c>
      <c r="C225" t="s">
        <v>49</v>
      </c>
      <c r="D225" s="2">
        <v>63794338</v>
      </c>
      <c r="E225" s="2">
        <v>18939290</v>
      </c>
      <c r="F225" s="2">
        <v>11595152</v>
      </c>
      <c r="G225" s="2">
        <f t="shared" si="6"/>
        <v>30534442</v>
      </c>
      <c r="H225">
        <f t="shared" si="7"/>
        <v>0.47863874690572067</v>
      </c>
    </row>
    <row r="226" spans="1:8">
      <c r="A226" t="s">
        <v>68</v>
      </c>
      <c r="B226">
        <v>33000</v>
      </c>
      <c r="C226" t="s">
        <v>50</v>
      </c>
      <c r="D226" s="2">
        <v>200690770</v>
      </c>
      <c r="E226" s="2">
        <v>15140661</v>
      </c>
      <c r="F226" s="2">
        <v>15431197</v>
      </c>
      <c r="G226" s="2">
        <f t="shared" si="6"/>
        <v>30571858</v>
      </c>
      <c r="H226">
        <f t="shared" si="7"/>
        <v>0.15233315413558879</v>
      </c>
    </row>
    <row r="227" spans="1:8">
      <c r="A227" t="s">
        <v>68</v>
      </c>
      <c r="B227">
        <v>34000</v>
      </c>
      <c r="C227" t="s">
        <v>51</v>
      </c>
      <c r="D227" s="2">
        <v>308657792</v>
      </c>
      <c r="E227" s="2">
        <v>9357711</v>
      </c>
      <c r="F227" s="2">
        <v>38063966</v>
      </c>
      <c r="G227" s="2">
        <f t="shared" si="6"/>
        <v>47421677</v>
      </c>
      <c r="H227">
        <f t="shared" si="7"/>
        <v>0.15363836011630641</v>
      </c>
    </row>
    <row r="228" spans="1:8">
      <c r="A228" t="s">
        <v>68</v>
      </c>
      <c r="B228">
        <v>35000</v>
      </c>
      <c r="C228" t="s">
        <v>52</v>
      </c>
      <c r="D228" s="2">
        <v>148635663</v>
      </c>
      <c r="E228" s="2">
        <v>19397974</v>
      </c>
      <c r="F228" s="2">
        <v>13257417</v>
      </c>
      <c r="G228" s="2">
        <f t="shared" si="6"/>
        <v>32655391</v>
      </c>
      <c r="H228">
        <f t="shared" si="7"/>
        <v>0.21970091390516419</v>
      </c>
    </row>
    <row r="229" spans="1:8">
      <c r="A229" t="s">
        <v>68</v>
      </c>
      <c r="B229">
        <v>36000</v>
      </c>
      <c r="C229" t="s">
        <v>53</v>
      </c>
      <c r="D229" s="2">
        <v>80225361</v>
      </c>
      <c r="E229" s="2">
        <v>13300911</v>
      </c>
      <c r="F229" s="2">
        <v>11116390</v>
      </c>
      <c r="G229" s="2">
        <f t="shared" si="6"/>
        <v>24417301</v>
      </c>
      <c r="H229">
        <f t="shared" si="7"/>
        <v>0.30435887973131093</v>
      </c>
    </row>
    <row r="230" spans="1:8">
      <c r="A230" t="s">
        <v>68</v>
      </c>
      <c r="B230">
        <v>37000</v>
      </c>
      <c r="C230" t="s">
        <v>54</v>
      </c>
      <c r="D230" s="2">
        <v>110731007</v>
      </c>
      <c r="E230" s="2">
        <v>4154006</v>
      </c>
      <c r="F230" s="2">
        <v>15910452</v>
      </c>
      <c r="G230" s="2">
        <f t="shared" si="6"/>
        <v>20064458</v>
      </c>
      <c r="H230">
        <f t="shared" si="7"/>
        <v>0.18119999576992921</v>
      </c>
    </row>
    <row r="231" spans="1:8">
      <c r="A231" t="s">
        <v>68</v>
      </c>
      <c r="B231">
        <v>38000</v>
      </c>
      <c r="C231" t="s">
        <v>55</v>
      </c>
      <c r="D231" s="2">
        <v>133718027</v>
      </c>
      <c r="E231" s="2">
        <v>13775231</v>
      </c>
      <c r="F231" s="2">
        <v>13682932</v>
      </c>
      <c r="G231" s="2">
        <f t="shared" si="6"/>
        <v>27458163</v>
      </c>
      <c r="H231">
        <f t="shared" si="7"/>
        <v>0.20534376415829109</v>
      </c>
    </row>
    <row r="232" spans="1:8">
      <c r="A232" t="s">
        <v>68</v>
      </c>
      <c r="B232">
        <v>39000</v>
      </c>
      <c r="C232" t="s">
        <v>56</v>
      </c>
      <c r="D232" s="2">
        <v>61888515</v>
      </c>
      <c r="E232" s="2">
        <v>12507277</v>
      </c>
      <c r="F232" s="2">
        <v>14371953</v>
      </c>
      <c r="G232" s="2">
        <f t="shared" si="6"/>
        <v>26879230</v>
      </c>
      <c r="H232">
        <f t="shared" si="7"/>
        <v>0.43431693263281562</v>
      </c>
    </row>
    <row r="233" spans="1:8">
      <c r="A233" t="s">
        <v>68</v>
      </c>
      <c r="B233">
        <v>40000</v>
      </c>
      <c r="C233" t="s">
        <v>57</v>
      </c>
      <c r="D233" s="2">
        <v>521460824</v>
      </c>
      <c r="E233" s="2">
        <v>26292647</v>
      </c>
      <c r="F233" s="2">
        <v>37690531</v>
      </c>
      <c r="G233" s="2">
        <f t="shared" si="6"/>
        <v>63983178</v>
      </c>
      <c r="H233">
        <f t="shared" si="7"/>
        <v>0.122699875149202</v>
      </c>
    </row>
    <row r="234" spans="1:8">
      <c r="A234" t="s">
        <v>68</v>
      </c>
      <c r="B234">
        <v>41000</v>
      </c>
      <c r="C234" t="s">
        <v>58</v>
      </c>
      <c r="D234" s="2">
        <v>80323513</v>
      </c>
      <c r="E234" s="2">
        <v>12785589</v>
      </c>
      <c r="F234" s="2">
        <v>20434807</v>
      </c>
      <c r="G234" s="2">
        <f t="shared" si="6"/>
        <v>33220396</v>
      </c>
      <c r="H234">
        <f t="shared" si="7"/>
        <v>0.41358245872537969</v>
      </c>
    </row>
    <row r="235" spans="1:8">
      <c r="A235" t="s">
        <v>68</v>
      </c>
      <c r="B235">
        <v>42000</v>
      </c>
      <c r="C235" t="s">
        <v>59</v>
      </c>
      <c r="D235" s="2">
        <v>111527157</v>
      </c>
      <c r="E235" s="2">
        <v>32282135</v>
      </c>
      <c r="F235" s="2">
        <v>19219630</v>
      </c>
      <c r="G235" s="2">
        <f t="shared" si="6"/>
        <v>51501765</v>
      </c>
      <c r="H235">
        <f t="shared" si="7"/>
        <v>0.46178676463527174</v>
      </c>
    </row>
    <row r="236" spans="1:8">
      <c r="A236" t="s">
        <v>68</v>
      </c>
      <c r="B236">
        <v>43000</v>
      </c>
      <c r="C236" t="s">
        <v>60</v>
      </c>
      <c r="D236" s="2">
        <v>156262746</v>
      </c>
      <c r="E236" s="2">
        <v>46441481</v>
      </c>
      <c r="F236" s="2">
        <v>27711402</v>
      </c>
      <c r="G236" s="2">
        <f t="shared" si="6"/>
        <v>74152883</v>
      </c>
      <c r="H236">
        <f t="shared" si="7"/>
        <v>0.4745397409053595</v>
      </c>
    </row>
    <row r="237" spans="1:8">
      <c r="A237" t="s">
        <v>68</v>
      </c>
      <c r="B237">
        <v>44000</v>
      </c>
      <c r="C237" t="s">
        <v>61</v>
      </c>
      <c r="D237" s="2">
        <v>108192519</v>
      </c>
      <c r="E237" s="2">
        <v>22732012</v>
      </c>
      <c r="F237" s="2">
        <v>15196925</v>
      </c>
      <c r="G237" s="2">
        <f t="shared" si="6"/>
        <v>37928937</v>
      </c>
      <c r="H237">
        <f t="shared" si="7"/>
        <v>0.35056894275656897</v>
      </c>
    </row>
    <row r="238" spans="1:8">
      <c r="A238" t="s">
        <v>68</v>
      </c>
      <c r="B238">
        <v>45000</v>
      </c>
      <c r="C238" t="s">
        <v>62</v>
      </c>
      <c r="D238" s="2">
        <v>95068089</v>
      </c>
      <c r="E238" s="2">
        <v>46750819</v>
      </c>
      <c r="F238" s="2">
        <v>1466989</v>
      </c>
      <c r="G238" s="2">
        <f t="shared" si="6"/>
        <v>48217808</v>
      </c>
      <c r="H238">
        <f t="shared" si="7"/>
        <v>0.50719235557580211</v>
      </c>
    </row>
    <row r="239" spans="1:8">
      <c r="A239" t="s">
        <v>68</v>
      </c>
      <c r="B239">
        <v>46000</v>
      </c>
      <c r="C239" t="s">
        <v>63</v>
      </c>
      <c r="D239" s="2">
        <v>138256103</v>
      </c>
      <c r="E239" s="2">
        <v>39939806</v>
      </c>
      <c r="F239" s="2">
        <v>30852770</v>
      </c>
      <c r="G239" s="2">
        <f t="shared" si="6"/>
        <v>70792576</v>
      </c>
      <c r="H239">
        <f t="shared" si="7"/>
        <v>0.51203942874044406</v>
      </c>
    </row>
    <row r="240" spans="1:8">
      <c r="A240" t="s">
        <v>68</v>
      </c>
      <c r="B240">
        <v>47000</v>
      </c>
      <c r="C240" t="s">
        <v>64</v>
      </c>
      <c r="D240" s="2">
        <v>104502331</v>
      </c>
      <c r="E240" s="2">
        <v>108671732</v>
      </c>
      <c r="F240" s="2">
        <v>81106118</v>
      </c>
      <c r="G240" s="2">
        <f t="shared" si="6"/>
        <v>189777850</v>
      </c>
      <c r="H240">
        <f t="shared" si="7"/>
        <v>1.8160154724204189</v>
      </c>
    </row>
    <row r="241" spans="1:8">
      <c r="A241" t="s">
        <v>69</v>
      </c>
      <c r="B241" s="1" t="s">
        <v>7</v>
      </c>
      <c r="C241" t="s">
        <v>8</v>
      </c>
      <c r="D241" s="2">
        <v>16116741669</v>
      </c>
      <c r="E241" s="2">
        <v>773668181</v>
      </c>
      <c r="F241" s="2">
        <v>1536428035</v>
      </c>
      <c r="G241" s="2">
        <f t="shared" si="6"/>
        <v>2310096216</v>
      </c>
      <c r="H241">
        <f t="shared" si="7"/>
        <v>0.14333518917433483</v>
      </c>
    </row>
    <row r="242" spans="1:8">
      <c r="A242" t="s">
        <v>69</v>
      </c>
      <c r="B242" s="1" t="s">
        <v>9</v>
      </c>
      <c r="C242" t="s">
        <v>10</v>
      </c>
      <c r="D242" s="2">
        <v>540195804</v>
      </c>
      <c r="E242" s="2">
        <v>84951519</v>
      </c>
      <c r="F242" s="2">
        <v>58290309</v>
      </c>
      <c r="G242" s="2">
        <f t="shared" si="6"/>
        <v>143241828</v>
      </c>
      <c r="H242">
        <f t="shared" si="7"/>
        <v>0.26516649507333084</v>
      </c>
    </row>
    <row r="243" spans="1:8">
      <c r="A243" t="s">
        <v>69</v>
      </c>
      <c r="B243" s="1" t="s">
        <v>11</v>
      </c>
      <c r="C243" t="s">
        <v>12</v>
      </c>
      <c r="D243" s="2">
        <v>135906352</v>
      </c>
      <c r="E243" s="2">
        <v>17442494</v>
      </c>
      <c r="F243" s="2">
        <v>19779361</v>
      </c>
      <c r="G243" s="2">
        <f t="shared" si="6"/>
        <v>37221855</v>
      </c>
      <c r="H243">
        <f t="shared" si="7"/>
        <v>0.2738786999447973</v>
      </c>
    </row>
    <row r="244" spans="1:8">
      <c r="A244" t="s">
        <v>69</v>
      </c>
      <c r="B244" s="1" t="s">
        <v>13</v>
      </c>
      <c r="C244" t="s">
        <v>14</v>
      </c>
      <c r="D244" s="2">
        <v>121952251</v>
      </c>
      <c r="E244" s="2">
        <v>15341300</v>
      </c>
      <c r="F244" s="2">
        <v>48425807</v>
      </c>
      <c r="G244" s="2">
        <f t="shared" si="6"/>
        <v>63767107</v>
      </c>
      <c r="H244">
        <f t="shared" si="7"/>
        <v>0.52288585472686355</v>
      </c>
    </row>
    <row r="245" spans="1:8">
      <c r="A245" t="s">
        <v>69</v>
      </c>
      <c r="B245" s="1" t="s">
        <v>15</v>
      </c>
      <c r="C245" t="s">
        <v>16</v>
      </c>
      <c r="D245" s="2">
        <v>257812358</v>
      </c>
      <c r="E245" s="2">
        <v>30026027</v>
      </c>
      <c r="F245" s="2">
        <v>174153314</v>
      </c>
      <c r="G245" s="2">
        <f t="shared" si="6"/>
        <v>204179341</v>
      </c>
      <c r="H245">
        <f t="shared" si="7"/>
        <v>0.79196878917650637</v>
      </c>
    </row>
    <row r="246" spans="1:8">
      <c r="A246" t="s">
        <v>69</v>
      </c>
      <c r="B246" s="1" t="s">
        <v>17</v>
      </c>
      <c r="C246" t="s">
        <v>18</v>
      </c>
      <c r="D246" s="2">
        <v>90512168</v>
      </c>
      <c r="E246" s="2">
        <v>13182524</v>
      </c>
      <c r="F246" s="2">
        <v>13027889</v>
      </c>
      <c r="G246" s="2">
        <f t="shared" si="6"/>
        <v>26210413</v>
      </c>
      <c r="H246">
        <f t="shared" si="7"/>
        <v>0.28957888844293289</v>
      </c>
    </row>
    <row r="247" spans="1:8">
      <c r="A247" t="s">
        <v>69</v>
      </c>
      <c r="B247" s="1" t="s">
        <v>19</v>
      </c>
      <c r="C247" t="s">
        <v>20</v>
      </c>
      <c r="D247" s="2">
        <v>104201981</v>
      </c>
      <c r="E247" s="2">
        <v>5271091</v>
      </c>
      <c r="F247" s="2">
        <v>17934323</v>
      </c>
      <c r="G247" s="2">
        <f t="shared" si="6"/>
        <v>23205414</v>
      </c>
      <c r="H247">
        <f t="shared" si="7"/>
        <v>0.22269647637505088</v>
      </c>
    </row>
    <row r="248" spans="1:8">
      <c r="A248" t="s">
        <v>69</v>
      </c>
      <c r="B248" s="1" t="s">
        <v>21</v>
      </c>
      <c r="C248" t="s">
        <v>22</v>
      </c>
      <c r="D248" s="2">
        <v>204231226</v>
      </c>
      <c r="E248" s="2">
        <v>50672401</v>
      </c>
      <c r="F248" s="2">
        <v>302188320</v>
      </c>
      <c r="G248" s="2">
        <f t="shared" si="6"/>
        <v>352860721</v>
      </c>
      <c r="H248">
        <f t="shared" si="7"/>
        <v>1.7277510785740473</v>
      </c>
    </row>
    <row r="249" spans="1:8">
      <c r="A249" t="s">
        <v>69</v>
      </c>
      <c r="B249" s="1" t="s">
        <v>23</v>
      </c>
      <c r="C249" t="s">
        <v>24</v>
      </c>
      <c r="D249" s="2">
        <v>332809343</v>
      </c>
      <c r="E249" s="2">
        <v>6503564</v>
      </c>
      <c r="F249" s="2">
        <v>29970869</v>
      </c>
      <c r="G249" s="2">
        <f t="shared" si="6"/>
        <v>36474433</v>
      </c>
      <c r="H249">
        <f t="shared" si="7"/>
        <v>0.10959558007360388</v>
      </c>
    </row>
    <row r="250" spans="1:8">
      <c r="A250" t="s">
        <v>69</v>
      </c>
      <c r="B250" s="1" t="s">
        <v>25</v>
      </c>
      <c r="C250" t="s">
        <v>26</v>
      </c>
      <c r="D250" s="2">
        <v>228209798</v>
      </c>
      <c r="E250" s="2">
        <v>7216279</v>
      </c>
      <c r="F250" s="2">
        <v>22776755</v>
      </c>
      <c r="G250" s="2">
        <f t="shared" si="6"/>
        <v>29993034</v>
      </c>
      <c r="H250">
        <f t="shared" si="7"/>
        <v>0.13142745956946161</v>
      </c>
    </row>
    <row r="251" spans="1:8">
      <c r="A251" t="s">
        <v>69</v>
      </c>
      <c r="B251">
        <v>10000</v>
      </c>
      <c r="C251" t="s">
        <v>27</v>
      </c>
      <c r="D251" s="2">
        <v>213281750</v>
      </c>
      <c r="E251" s="2">
        <v>4882540</v>
      </c>
      <c r="F251" s="2">
        <v>15189309</v>
      </c>
      <c r="G251" s="2">
        <f t="shared" si="6"/>
        <v>20071849</v>
      </c>
      <c r="H251">
        <f t="shared" si="7"/>
        <v>9.4109547582012995E-2</v>
      </c>
    </row>
    <row r="252" spans="1:8">
      <c r="A252" t="s">
        <v>69</v>
      </c>
      <c r="B252">
        <v>11000</v>
      </c>
      <c r="C252" t="s">
        <v>28</v>
      </c>
      <c r="D252" s="2">
        <v>711642205</v>
      </c>
      <c r="E252" s="2">
        <v>23388488</v>
      </c>
      <c r="F252" s="2">
        <v>10249771</v>
      </c>
      <c r="G252" s="2">
        <f t="shared" si="6"/>
        <v>33638259</v>
      </c>
      <c r="H252">
        <f t="shared" si="7"/>
        <v>4.726849920319158E-2</v>
      </c>
    </row>
    <row r="253" spans="1:8">
      <c r="A253" t="s">
        <v>69</v>
      </c>
      <c r="B253">
        <v>12000</v>
      </c>
      <c r="C253" t="s">
        <v>29</v>
      </c>
      <c r="D253" s="2">
        <v>638178913</v>
      </c>
      <c r="E253" s="2">
        <v>20614216</v>
      </c>
      <c r="F253" s="2">
        <v>50031542</v>
      </c>
      <c r="G253" s="2">
        <f t="shared" si="6"/>
        <v>70645758</v>
      </c>
      <c r="H253">
        <f t="shared" si="7"/>
        <v>0.11069898512926891</v>
      </c>
    </row>
    <row r="254" spans="1:8">
      <c r="A254" t="s">
        <v>69</v>
      </c>
      <c r="B254">
        <v>13000</v>
      </c>
      <c r="C254" t="s">
        <v>30</v>
      </c>
      <c r="D254" s="2">
        <v>4257081520</v>
      </c>
      <c r="E254" s="2">
        <v>35963710</v>
      </c>
      <c r="F254" s="2">
        <v>74001364</v>
      </c>
      <c r="G254" s="2">
        <f t="shared" si="6"/>
        <v>109965074</v>
      </c>
      <c r="H254">
        <f t="shared" si="7"/>
        <v>2.5831094256329862E-2</v>
      </c>
    </row>
    <row r="255" spans="1:8">
      <c r="A255" t="s">
        <v>69</v>
      </c>
      <c r="B255">
        <v>14000</v>
      </c>
      <c r="C255" t="s">
        <v>31</v>
      </c>
      <c r="D255" s="2">
        <v>1017495342</v>
      </c>
      <c r="E255" s="2">
        <v>4722096</v>
      </c>
      <c r="F255" s="2">
        <v>32111516</v>
      </c>
      <c r="G255" s="2">
        <f t="shared" si="6"/>
        <v>36833612</v>
      </c>
      <c r="H255">
        <f t="shared" si="7"/>
        <v>3.6200275794481228E-2</v>
      </c>
    </row>
    <row r="256" spans="1:8">
      <c r="A256" t="s">
        <v>69</v>
      </c>
      <c r="B256">
        <v>15000</v>
      </c>
      <c r="C256" t="s">
        <v>32</v>
      </c>
      <c r="D256" s="2">
        <v>238708364</v>
      </c>
      <c r="E256" s="2">
        <v>28381339</v>
      </c>
      <c r="F256" s="2">
        <v>25461033</v>
      </c>
      <c r="G256" s="2">
        <f t="shared" si="6"/>
        <v>53842372</v>
      </c>
      <c r="H256">
        <f t="shared" si="7"/>
        <v>0.22555712375457443</v>
      </c>
    </row>
    <row r="257" spans="1:8">
      <c r="A257" t="s">
        <v>69</v>
      </c>
      <c r="B257">
        <v>16000</v>
      </c>
      <c r="C257" t="s">
        <v>33</v>
      </c>
      <c r="D257" s="2">
        <v>118014106</v>
      </c>
      <c r="E257" s="2">
        <v>14273405</v>
      </c>
      <c r="F257" s="2">
        <v>7837259</v>
      </c>
      <c r="G257" s="2">
        <f t="shared" si="6"/>
        <v>22110664</v>
      </c>
      <c r="H257">
        <f t="shared" si="7"/>
        <v>0.18735611148043607</v>
      </c>
    </row>
    <row r="258" spans="1:8">
      <c r="A258" t="s">
        <v>69</v>
      </c>
      <c r="B258">
        <v>17000</v>
      </c>
      <c r="C258" t="s">
        <v>34</v>
      </c>
      <c r="D258" s="2">
        <v>127077390</v>
      </c>
      <c r="E258" s="2">
        <v>7089408</v>
      </c>
      <c r="F258" s="2">
        <v>14704085</v>
      </c>
      <c r="G258" s="2">
        <f t="shared" si="6"/>
        <v>21793493</v>
      </c>
      <c r="H258">
        <f t="shared" si="7"/>
        <v>0.17149780145783605</v>
      </c>
    </row>
    <row r="259" spans="1:8">
      <c r="A259" t="s">
        <v>69</v>
      </c>
      <c r="B259">
        <v>18000</v>
      </c>
      <c r="C259" t="s">
        <v>35</v>
      </c>
      <c r="D259" s="2">
        <v>97903006</v>
      </c>
      <c r="E259" s="2">
        <v>9428804</v>
      </c>
      <c r="F259" s="2">
        <v>7920691</v>
      </c>
      <c r="G259" s="2">
        <f t="shared" ref="G259:G322" si="8">E259+F259</f>
        <v>17349495</v>
      </c>
      <c r="H259">
        <f t="shared" ref="H259:H322" si="9">G259/D259</f>
        <v>0.17721105519477104</v>
      </c>
    </row>
    <row r="260" spans="1:8">
      <c r="A260" t="s">
        <v>69</v>
      </c>
      <c r="B260">
        <v>19000</v>
      </c>
      <c r="C260" t="s">
        <v>36</v>
      </c>
      <c r="D260" s="2">
        <v>92999227</v>
      </c>
      <c r="E260" s="2">
        <v>4446931</v>
      </c>
      <c r="F260" s="2">
        <v>10315358</v>
      </c>
      <c r="G260" s="2">
        <f t="shared" si="8"/>
        <v>14762289</v>
      </c>
      <c r="H260">
        <f t="shared" si="9"/>
        <v>0.15873560970565917</v>
      </c>
    </row>
    <row r="261" spans="1:8">
      <c r="A261" t="s">
        <v>69</v>
      </c>
      <c r="B261">
        <v>20000</v>
      </c>
      <c r="C261" t="s">
        <v>37</v>
      </c>
      <c r="D261" s="2">
        <v>215445798</v>
      </c>
      <c r="E261" s="2">
        <v>15800495</v>
      </c>
      <c r="F261" s="2">
        <v>22588483</v>
      </c>
      <c r="G261" s="2">
        <f t="shared" si="8"/>
        <v>38388978</v>
      </c>
      <c r="H261">
        <f t="shared" si="9"/>
        <v>0.17818392540661201</v>
      </c>
    </row>
    <row r="262" spans="1:8">
      <c r="A262" t="s">
        <v>69</v>
      </c>
      <c r="B262">
        <v>21000</v>
      </c>
      <c r="C262" t="s">
        <v>38</v>
      </c>
      <c r="D262" s="2">
        <v>214850321</v>
      </c>
      <c r="E262" s="2">
        <v>11790719</v>
      </c>
      <c r="F262" s="2">
        <v>17347596</v>
      </c>
      <c r="G262" s="2">
        <f t="shared" si="8"/>
        <v>29138315</v>
      </c>
      <c r="H262">
        <f t="shared" si="9"/>
        <v>0.13562146365143202</v>
      </c>
    </row>
    <row r="263" spans="1:8">
      <c r="A263" t="s">
        <v>69</v>
      </c>
      <c r="B263">
        <v>22000</v>
      </c>
      <c r="C263" t="s">
        <v>39</v>
      </c>
      <c r="D263" s="2">
        <v>437027012</v>
      </c>
      <c r="E263" s="2">
        <v>10847218</v>
      </c>
      <c r="F263" s="2">
        <v>23884069</v>
      </c>
      <c r="G263" s="2">
        <f t="shared" si="8"/>
        <v>34731287</v>
      </c>
      <c r="H263">
        <f t="shared" si="9"/>
        <v>7.9471716956479574E-2</v>
      </c>
    </row>
    <row r="264" spans="1:8">
      <c r="A264" t="s">
        <v>69</v>
      </c>
      <c r="B264">
        <v>23000</v>
      </c>
      <c r="C264" t="s">
        <v>40</v>
      </c>
      <c r="D264" s="2">
        <v>938568993</v>
      </c>
      <c r="E264" s="2">
        <v>11803911</v>
      </c>
      <c r="F264" s="2">
        <v>29507425</v>
      </c>
      <c r="G264" s="2">
        <f t="shared" si="8"/>
        <v>41311336</v>
      </c>
      <c r="H264">
        <f t="shared" si="9"/>
        <v>4.4015236288548476E-2</v>
      </c>
    </row>
    <row r="265" spans="1:8">
      <c r="A265" t="s">
        <v>69</v>
      </c>
      <c r="B265">
        <v>24000</v>
      </c>
      <c r="C265" t="s">
        <v>41</v>
      </c>
      <c r="D265" s="2">
        <v>206775302</v>
      </c>
      <c r="E265" s="2">
        <v>10158489</v>
      </c>
      <c r="F265" s="2">
        <v>14316405</v>
      </c>
      <c r="G265" s="2">
        <f t="shared" si="8"/>
        <v>24474894</v>
      </c>
      <c r="H265">
        <f t="shared" si="9"/>
        <v>0.1183646874809062</v>
      </c>
    </row>
    <row r="266" spans="1:8">
      <c r="A266" t="s">
        <v>69</v>
      </c>
      <c r="B266">
        <v>25000</v>
      </c>
      <c r="C266" t="s">
        <v>42</v>
      </c>
      <c r="D266" s="2">
        <v>147303154</v>
      </c>
      <c r="E266" s="2">
        <v>2577889</v>
      </c>
      <c r="F266" s="2">
        <v>13305014</v>
      </c>
      <c r="G266" s="2">
        <f t="shared" si="8"/>
        <v>15882903</v>
      </c>
      <c r="H266">
        <f t="shared" si="9"/>
        <v>0.10782459552766942</v>
      </c>
    </row>
    <row r="267" spans="1:8">
      <c r="A267" t="s">
        <v>69</v>
      </c>
      <c r="B267">
        <v>26000</v>
      </c>
      <c r="C267" t="s">
        <v>43</v>
      </c>
      <c r="D267" s="2">
        <v>259349022</v>
      </c>
      <c r="E267" s="2">
        <v>5727857</v>
      </c>
      <c r="F267" s="2">
        <v>27648993</v>
      </c>
      <c r="G267" s="2">
        <f t="shared" si="8"/>
        <v>33376850</v>
      </c>
      <c r="H267">
        <f t="shared" si="9"/>
        <v>0.12869472089237335</v>
      </c>
    </row>
    <row r="268" spans="1:8">
      <c r="A268" t="s">
        <v>69</v>
      </c>
      <c r="B268">
        <v>27000</v>
      </c>
      <c r="C268" t="s">
        <v>44</v>
      </c>
      <c r="D268" s="2">
        <v>993622536</v>
      </c>
      <c r="E268" s="2">
        <v>6030250</v>
      </c>
      <c r="F268" s="2">
        <v>56272468</v>
      </c>
      <c r="G268" s="2">
        <f t="shared" si="8"/>
        <v>62302718</v>
      </c>
      <c r="H268">
        <f t="shared" si="9"/>
        <v>6.2702601584310277E-2</v>
      </c>
    </row>
    <row r="269" spans="1:8">
      <c r="A269" t="s">
        <v>69</v>
      </c>
      <c r="B269">
        <v>28000</v>
      </c>
      <c r="C269" t="s">
        <v>45</v>
      </c>
      <c r="D269" s="2">
        <v>574191822</v>
      </c>
      <c r="E269" s="2">
        <v>19818711</v>
      </c>
      <c r="F269" s="2">
        <v>34855758</v>
      </c>
      <c r="G269" s="2">
        <f t="shared" si="8"/>
        <v>54674469</v>
      </c>
      <c r="H269">
        <f t="shared" si="9"/>
        <v>9.5219867133530853E-2</v>
      </c>
    </row>
    <row r="270" spans="1:8">
      <c r="A270" t="s">
        <v>69</v>
      </c>
      <c r="B270">
        <v>29000</v>
      </c>
      <c r="C270" t="s">
        <v>46</v>
      </c>
      <c r="D270" s="2">
        <v>117606064</v>
      </c>
      <c r="E270" s="2">
        <v>7706011</v>
      </c>
      <c r="F270" s="2">
        <v>9313683</v>
      </c>
      <c r="G270" s="2">
        <f t="shared" si="8"/>
        <v>17019694</v>
      </c>
      <c r="H270">
        <f t="shared" si="9"/>
        <v>0.14471782679505368</v>
      </c>
    </row>
    <row r="271" spans="1:8">
      <c r="A271" t="s">
        <v>69</v>
      </c>
      <c r="B271">
        <v>30000</v>
      </c>
      <c r="C271" t="s">
        <v>47</v>
      </c>
      <c r="D271" s="2">
        <v>85828157</v>
      </c>
      <c r="E271" s="2">
        <v>11589568</v>
      </c>
      <c r="F271" s="2">
        <v>10263933</v>
      </c>
      <c r="G271" s="2">
        <f t="shared" si="8"/>
        <v>21853501</v>
      </c>
      <c r="H271">
        <f t="shared" si="9"/>
        <v>0.25461925041685329</v>
      </c>
    </row>
    <row r="272" spans="1:8">
      <c r="A272" t="s">
        <v>69</v>
      </c>
      <c r="B272">
        <v>31000</v>
      </c>
      <c r="C272" t="s">
        <v>48</v>
      </c>
      <c r="D272" s="2">
        <v>50824253</v>
      </c>
      <c r="E272" s="2">
        <v>5640483</v>
      </c>
      <c r="F272" s="2">
        <v>13575493</v>
      </c>
      <c r="G272" s="2">
        <f t="shared" si="8"/>
        <v>19215976</v>
      </c>
      <c r="H272">
        <f t="shared" si="9"/>
        <v>0.37808673744796606</v>
      </c>
    </row>
    <row r="273" spans="1:8">
      <c r="A273" t="s">
        <v>69</v>
      </c>
      <c r="B273">
        <v>32000</v>
      </c>
      <c r="C273" t="s">
        <v>49</v>
      </c>
      <c r="D273" s="2">
        <v>62475207</v>
      </c>
      <c r="E273" s="2">
        <v>15156434</v>
      </c>
      <c r="F273" s="2">
        <v>16819341</v>
      </c>
      <c r="G273" s="2">
        <f t="shared" si="8"/>
        <v>31975775</v>
      </c>
      <c r="H273">
        <f t="shared" si="9"/>
        <v>0.51181543103970828</v>
      </c>
    </row>
    <row r="274" spans="1:8">
      <c r="A274" t="s">
        <v>69</v>
      </c>
      <c r="B274">
        <v>33000</v>
      </c>
      <c r="C274" t="s">
        <v>50</v>
      </c>
      <c r="D274" s="2">
        <v>192158401</v>
      </c>
      <c r="E274" s="2">
        <v>8443625</v>
      </c>
      <c r="F274" s="2">
        <v>14814006</v>
      </c>
      <c r="G274" s="2">
        <f t="shared" si="8"/>
        <v>23257631</v>
      </c>
      <c r="H274">
        <f t="shared" si="9"/>
        <v>0.12103364140712224</v>
      </c>
    </row>
    <row r="275" spans="1:8">
      <c r="A275" t="s">
        <v>69</v>
      </c>
      <c r="B275">
        <v>34000</v>
      </c>
      <c r="C275" t="s">
        <v>51</v>
      </c>
      <c r="D275" s="2">
        <v>297091573</v>
      </c>
      <c r="E275" s="2">
        <v>6467512</v>
      </c>
      <c r="F275" s="2">
        <v>33407175</v>
      </c>
      <c r="G275" s="2">
        <f t="shared" si="8"/>
        <v>39874687</v>
      </c>
      <c r="H275">
        <f t="shared" si="9"/>
        <v>0.1342168227706681</v>
      </c>
    </row>
    <row r="276" spans="1:8">
      <c r="A276" t="s">
        <v>69</v>
      </c>
      <c r="B276">
        <v>35000</v>
      </c>
      <c r="C276" t="s">
        <v>52</v>
      </c>
      <c r="D276" s="2">
        <v>140716883</v>
      </c>
      <c r="E276" s="2">
        <v>9325090</v>
      </c>
      <c r="F276" s="2">
        <v>14818756</v>
      </c>
      <c r="G276" s="2">
        <f t="shared" si="8"/>
        <v>24143846</v>
      </c>
      <c r="H276">
        <f t="shared" si="9"/>
        <v>0.17157746451788589</v>
      </c>
    </row>
    <row r="277" spans="1:8">
      <c r="A277" t="s">
        <v>69</v>
      </c>
      <c r="B277">
        <v>36000</v>
      </c>
      <c r="C277" t="s">
        <v>53</v>
      </c>
      <c r="D277" s="2">
        <v>76923352</v>
      </c>
      <c r="E277" s="2">
        <v>7113708</v>
      </c>
      <c r="F277" s="2">
        <v>13852076</v>
      </c>
      <c r="G277" s="2">
        <f t="shared" si="8"/>
        <v>20965784</v>
      </c>
      <c r="H277">
        <f t="shared" si="9"/>
        <v>0.27255421734611879</v>
      </c>
    </row>
    <row r="278" spans="1:8">
      <c r="A278" t="s">
        <v>69</v>
      </c>
      <c r="B278">
        <v>37000</v>
      </c>
      <c r="C278" t="s">
        <v>54</v>
      </c>
      <c r="D278" s="2">
        <v>107928478</v>
      </c>
      <c r="E278" s="2">
        <v>5117763</v>
      </c>
      <c r="F278" s="2">
        <v>9257180</v>
      </c>
      <c r="G278" s="2">
        <f t="shared" si="8"/>
        <v>14374943</v>
      </c>
      <c r="H278">
        <f t="shared" si="9"/>
        <v>0.13318952760549443</v>
      </c>
    </row>
    <row r="279" spans="1:8">
      <c r="A279" t="s">
        <v>69</v>
      </c>
      <c r="B279">
        <v>38000</v>
      </c>
      <c r="C279" t="s">
        <v>55</v>
      </c>
      <c r="D279" s="2">
        <v>127733955</v>
      </c>
      <c r="E279" s="2">
        <v>7685509</v>
      </c>
      <c r="F279" s="2">
        <v>11465402</v>
      </c>
      <c r="G279" s="2">
        <f t="shared" si="8"/>
        <v>19150911</v>
      </c>
      <c r="H279">
        <f t="shared" si="9"/>
        <v>0.14992811425904726</v>
      </c>
    </row>
    <row r="280" spans="1:8">
      <c r="A280" t="s">
        <v>69</v>
      </c>
      <c r="B280">
        <v>39000</v>
      </c>
      <c r="C280" t="s">
        <v>56</v>
      </c>
      <c r="D280" s="2">
        <v>60470787</v>
      </c>
      <c r="E280" s="2">
        <v>8660635</v>
      </c>
      <c r="F280" s="2">
        <v>13010097</v>
      </c>
      <c r="G280" s="2">
        <f t="shared" si="8"/>
        <v>21670732</v>
      </c>
      <c r="H280">
        <f t="shared" si="9"/>
        <v>0.3583669582471285</v>
      </c>
    </row>
    <row r="281" spans="1:8">
      <c r="A281" t="s">
        <v>69</v>
      </c>
      <c r="B281">
        <v>40000</v>
      </c>
      <c r="C281" t="s">
        <v>57</v>
      </c>
      <c r="D281" s="2">
        <v>501735585</v>
      </c>
      <c r="E281" s="2">
        <v>13711411</v>
      </c>
      <c r="F281" s="2">
        <v>36465832</v>
      </c>
      <c r="G281" s="2">
        <f t="shared" si="8"/>
        <v>50177243</v>
      </c>
      <c r="H281">
        <f t="shared" si="9"/>
        <v>0.10000734350943037</v>
      </c>
    </row>
    <row r="282" spans="1:8">
      <c r="A282" t="s">
        <v>69</v>
      </c>
      <c r="B282">
        <v>41000</v>
      </c>
      <c r="C282" t="s">
        <v>58</v>
      </c>
      <c r="D282" s="2">
        <v>77666264</v>
      </c>
      <c r="E282" s="2">
        <v>8850705</v>
      </c>
      <c r="F282" s="2">
        <v>11767780</v>
      </c>
      <c r="G282" s="2">
        <f t="shared" si="8"/>
        <v>20618485</v>
      </c>
      <c r="H282">
        <f t="shared" si="9"/>
        <v>0.26547543216447234</v>
      </c>
    </row>
    <row r="283" spans="1:8">
      <c r="A283" t="s">
        <v>69</v>
      </c>
      <c r="B283">
        <v>42000</v>
      </c>
      <c r="C283" t="s">
        <v>59</v>
      </c>
      <c r="D283" s="2">
        <v>110549142</v>
      </c>
      <c r="E283" s="2">
        <v>19517879</v>
      </c>
      <c r="F283" s="2">
        <v>17493745</v>
      </c>
      <c r="G283" s="2">
        <f t="shared" si="8"/>
        <v>37011624</v>
      </c>
      <c r="H283">
        <f t="shared" si="9"/>
        <v>0.33479793086046744</v>
      </c>
    </row>
    <row r="284" spans="1:8">
      <c r="A284" t="s">
        <v>69</v>
      </c>
      <c r="B284">
        <v>43000</v>
      </c>
      <c r="C284" t="s">
        <v>60</v>
      </c>
      <c r="D284" s="2">
        <v>154247982</v>
      </c>
      <c r="E284" s="2">
        <v>17425780</v>
      </c>
      <c r="F284" s="2">
        <v>45834097</v>
      </c>
      <c r="G284" s="2">
        <f t="shared" si="8"/>
        <v>63259877</v>
      </c>
      <c r="H284">
        <f t="shared" si="9"/>
        <v>0.41011802021500676</v>
      </c>
    </row>
    <row r="285" spans="1:8">
      <c r="A285" t="s">
        <v>69</v>
      </c>
      <c r="B285">
        <v>44000</v>
      </c>
      <c r="C285" t="s">
        <v>61</v>
      </c>
      <c r="D285" s="2">
        <v>105695471</v>
      </c>
      <c r="E285" s="2">
        <v>14271280</v>
      </c>
      <c r="F285" s="2">
        <v>13990572</v>
      </c>
      <c r="G285" s="2">
        <f t="shared" si="8"/>
        <v>28261852</v>
      </c>
      <c r="H285">
        <f t="shared" si="9"/>
        <v>0.26738943241948371</v>
      </c>
    </row>
    <row r="286" spans="1:8">
      <c r="A286" t="s">
        <v>69</v>
      </c>
      <c r="B286">
        <v>45000</v>
      </c>
      <c r="C286" t="s">
        <v>62</v>
      </c>
      <c r="D286" s="2">
        <v>94533560</v>
      </c>
      <c r="E286" s="2">
        <v>32735718</v>
      </c>
      <c r="F286" s="2">
        <v>1153481</v>
      </c>
      <c r="G286" s="2">
        <f t="shared" si="8"/>
        <v>33889199</v>
      </c>
      <c r="H286">
        <f t="shared" si="9"/>
        <v>0.35848855157893134</v>
      </c>
    </row>
    <row r="287" spans="1:8">
      <c r="A287" t="s">
        <v>69</v>
      </c>
      <c r="B287">
        <v>46000</v>
      </c>
      <c r="C287" t="s">
        <v>63</v>
      </c>
      <c r="D287" s="2">
        <v>135103996</v>
      </c>
      <c r="E287" s="2">
        <v>28560321</v>
      </c>
      <c r="F287" s="2">
        <v>24388132</v>
      </c>
      <c r="G287" s="2">
        <f t="shared" si="8"/>
        <v>52948453</v>
      </c>
      <c r="H287">
        <f t="shared" si="9"/>
        <v>0.39190885960175448</v>
      </c>
    </row>
    <row r="288" spans="1:8">
      <c r="A288" t="s">
        <v>69</v>
      </c>
      <c r="B288">
        <v>47000</v>
      </c>
      <c r="C288" t="s">
        <v>64</v>
      </c>
      <c r="D288" s="2">
        <v>102105495</v>
      </c>
      <c r="E288" s="2">
        <v>67335074</v>
      </c>
      <c r="F288" s="2">
        <v>50642168</v>
      </c>
      <c r="G288" s="2">
        <f t="shared" si="8"/>
        <v>117977242</v>
      </c>
      <c r="H288">
        <f t="shared" si="9"/>
        <v>1.1554445918899861</v>
      </c>
    </row>
    <row r="289" spans="1:8">
      <c r="A289" t="s">
        <v>70</v>
      </c>
      <c r="B289" s="1" t="s">
        <v>7</v>
      </c>
      <c r="C289" t="s">
        <v>8</v>
      </c>
      <c r="D289" s="2">
        <v>15735437802</v>
      </c>
      <c r="E289" s="2">
        <v>1095861805</v>
      </c>
      <c r="F289" s="2">
        <v>2759846850</v>
      </c>
      <c r="G289" s="2">
        <f t="shared" si="8"/>
        <v>3855708655</v>
      </c>
      <c r="H289">
        <f t="shared" si="9"/>
        <v>0.24503345274002691</v>
      </c>
    </row>
    <row r="290" spans="1:8">
      <c r="A290" t="s">
        <v>70</v>
      </c>
      <c r="B290" s="1" t="s">
        <v>9</v>
      </c>
      <c r="C290" t="s">
        <v>10</v>
      </c>
      <c r="D290" s="2">
        <v>532137220</v>
      </c>
      <c r="E290" s="2">
        <v>77157233</v>
      </c>
      <c r="F290" s="2">
        <v>73780839</v>
      </c>
      <c r="G290" s="2">
        <f t="shared" si="8"/>
        <v>150938072</v>
      </c>
      <c r="H290">
        <f t="shared" si="9"/>
        <v>0.28364501923019031</v>
      </c>
    </row>
    <row r="291" spans="1:8">
      <c r="A291" t="s">
        <v>70</v>
      </c>
      <c r="B291" s="1" t="s">
        <v>11</v>
      </c>
      <c r="C291" t="s">
        <v>12</v>
      </c>
      <c r="D291" s="2">
        <v>131208832</v>
      </c>
      <c r="E291" s="2">
        <v>21949903</v>
      </c>
      <c r="F291" s="2">
        <v>35649806</v>
      </c>
      <c r="G291" s="2">
        <f t="shared" si="8"/>
        <v>57599709</v>
      </c>
      <c r="H291">
        <f t="shared" si="9"/>
        <v>0.43899262055773808</v>
      </c>
    </row>
    <row r="292" spans="1:8">
      <c r="A292" t="s">
        <v>70</v>
      </c>
      <c r="B292" s="1" t="s">
        <v>13</v>
      </c>
      <c r="C292" t="s">
        <v>14</v>
      </c>
      <c r="D292" s="2">
        <v>112789657</v>
      </c>
      <c r="E292" s="2">
        <v>80316011</v>
      </c>
      <c r="F292" s="2">
        <v>204581249</v>
      </c>
      <c r="G292" s="2">
        <f t="shared" si="8"/>
        <v>284897260</v>
      </c>
      <c r="H292">
        <f t="shared" si="9"/>
        <v>2.5259165386060176</v>
      </c>
    </row>
    <row r="293" spans="1:8">
      <c r="A293" t="s">
        <v>70</v>
      </c>
      <c r="B293" s="1" t="s">
        <v>15</v>
      </c>
      <c r="C293" t="s">
        <v>16</v>
      </c>
      <c r="D293" s="2">
        <v>226455879</v>
      </c>
      <c r="E293" s="2">
        <v>127471281</v>
      </c>
      <c r="F293" s="2">
        <v>381039905</v>
      </c>
      <c r="G293" s="2">
        <f t="shared" si="8"/>
        <v>508511186</v>
      </c>
      <c r="H293">
        <f t="shared" si="9"/>
        <v>2.2455199142787543</v>
      </c>
    </row>
    <row r="294" spans="1:8">
      <c r="A294" t="s">
        <v>70</v>
      </c>
      <c r="B294" s="1" t="s">
        <v>17</v>
      </c>
      <c r="C294" t="s">
        <v>18</v>
      </c>
      <c r="D294" s="2">
        <v>88547541</v>
      </c>
      <c r="E294" s="2">
        <v>15005839</v>
      </c>
      <c r="F294" s="2">
        <v>29545000</v>
      </c>
      <c r="G294" s="2">
        <f t="shared" si="8"/>
        <v>44550839</v>
      </c>
      <c r="H294">
        <f t="shared" si="9"/>
        <v>0.50312903663806996</v>
      </c>
    </row>
    <row r="295" spans="1:8">
      <c r="A295" t="s">
        <v>70</v>
      </c>
      <c r="B295" s="1" t="s">
        <v>19</v>
      </c>
      <c r="C295" t="s">
        <v>20</v>
      </c>
      <c r="D295" s="2">
        <v>99415332</v>
      </c>
      <c r="E295" s="2">
        <v>8026103</v>
      </c>
      <c r="F295" s="2">
        <v>32286737</v>
      </c>
      <c r="G295" s="2">
        <f t="shared" si="8"/>
        <v>40312840</v>
      </c>
      <c r="H295">
        <f t="shared" si="9"/>
        <v>0.40549922420417006</v>
      </c>
    </row>
    <row r="296" spans="1:8">
      <c r="A296" t="s">
        <v>70</v>
      </c>
      <c r="B296" s="1" t="s">
        <v>21</v>
      </c>
      <c r="C296" t="s">
        <v>22</v>
      </c>
      <c r="D296" s="2">
        <v>190512188</v>
      </c>
      <c r="E296" s="2">
        <v>136737603</v>
      </c>
      <c r="F296" s="2">
        <v>882517364</v>
      </c>
      <c r="G296" s="2">
        <f t="shared" si="8"/>
        <v>1019254967</v>
      </c>
      <c r="H296">
        <f t="shared" si="9"/>
        <v>5.3500774816569745</v>
      </c>
    </row>
    <row r="297" spans="1:8">
      <c r="A297" t="s">
        <v>70</v>
      </c>
      <c r="B297" s="1" t="s">
        <v>23</v>
      </c>
      <c r="C297" t="s">
        <v>24</v>
      </c>
      <c r="D297" s="2">
        <v>322411517</v>
      </c>
      <c r="E297" s="2">
        <v>33156106</v>
      </c>
      <c r="F297" s="2">
        <v>49096925</v>
      </c>
      <c r="G297" s="2">
        <f t="shared" si="8"/>
        <v>82253031</v>
      </c>
      <c r="H297">
        <f t="shared" si="9"/>
        <v>0.25511815385924941</v>
      </c>
    </row>
    <row r="298" spans="1:8">
      <c r="A298" t="s">
        <v>70</v>
      </c>
      <c r="B298" s="1" t="s">
        <v>25</v>
      </c>
      <c r="C298" t="s">
        <v>26</v>
      </c>
      <c r="D298" s="2">
        <v>220954560</v>
      </c>
      <c r="E298" s="2">
        <v>3202046</v>
      </c>
      <c r="F298" s="2">
        <v>34907675</v>
      </c>
      <c r="G298" s="2">
        <f t="shared" si="8"/>
        <v>38109721</v>
      </c>
      <c r="H298">
        <f t="shared" si="9"/>
        <v>0.17247763974638045</v>
      </c>
    </row>
    <row r="299" spans="1:8">
      <c r="A299" t="s">
        <v>70</v>
      </c>
      <c r="B299">
        <v>10000</v>
      </c>
      <c r="C299" t="s">
        <v>27</v>
      </c>
      <c r="D299" s="2">
        <v>209689274</v>
      </c>
      <c r="E299" s="2">
        <v>7555473</v>
      </c>
      <c r="F299" s="2">
        <v>19839550</v>
      </c>
      <c r="G299" s="2">
        <f t="shared" si="8"/>
        <v>27395023</v>
      </c>
      <c r="H299">
        <f t="shared" si="9"/>
        <v>0.13064580022342964</v>
      </c>
    </row>
    <row r="300" spans="1:8">
      <c r="A300" t="s">
        <v>70</v>
      </c>
      <c r="B300">
        <v>11000</v>
      </c>
      <c r="C300" t="s">
        <v>28</v>
      </c>
      <c r="D300" s="2">
        <v>692737135</v>
      </c>
      <c r="E300" s="2">
        <v>25044230</v>
      </c>
      <c r="F300" s="2">
        <v>14179336</v>
      </c>
      <c r="G300" s="2">
        <f t="shared" si="8"/>
        <v>39223566</v>
      </c>
      <c r="H300">
        <f t="shared" si="9"/>
        <v>5.6621139561112165E-2</v>
      </c>
    </row>
    <row r="301" spans="1:8">
      <c r="A301" t="s">
        <v>70</v>
      </c>
      <c r="B301">
        <v>12000</v>
      </c>
      <c r="C301" t="s">
        <v>29</v>
      </c>
      <c r="D301" s="2">
        <v>626160657</v>
      </c>
      <c r="E301" s="2">
        <v>27265266</v>
      </c>
      <c r="F301" s="2">
        <v>56972829</v>
      </c>
      <c r="G301" s="2">
        <f t="shared" si="8"/>
        <v>84238095</v>
      </c>
      <c r="H301">
        <f t="shared" si="9"/>
        <v>0.13453112082064267</v>
      </c>
    </row>
    <row r="302" spans="1:8">
      <c r="A302" t="s">
        <v>70</v>
      </c>
      <c r="B302">
        <v>13000</v>
      </c>
      <c r="C302" t="s">
        <v>30</v>
      </c>
      <c r="D302" s="2">
        <v>4149759765</v>
      </c>
      <c r="E302" s="2">
        <v>40340168</v>
      </c>
      <c r="F302" s="2">
        <v>92796847</v>
      </c>
      <c r="G302" s="2">
        <f t="shared" si="8"/>
        <v>133137015</v>
      </c>
      <c r="H302">
        <f t="shared" si="9"/>
        <v>3.2083065656693506E-2</v>
      </c>
    </row>
    <row r="303" spans="1:8">
      <c r="A303" t="s">
        <v>70</v>
      </c>
      <c r="B303">
        <v>14000</v>
      </c>
      <c r="C303" t="s">
        <v>31</v>
      </c>
      <c r="D303" s="2">
        <v>997844501</v>
      </c>
      <c r="E303" s="2">
        <v>5291979</v>
      </c>
      <c r="F303" s="2">
        <v>41502698</v>
      </c>
      <c r="G303" s="2">
        <f t="shared" si="8"/>
        <v>46794677</v>
      </c>
      <c r="H303">
        <f t="shared" si="9"/>
        <v>4.6895760765434134E-2</v>
      </c>
    </row>
    <row r="304" spans="1:8">
      <c r="A304" t="s">
        <v>70</v>
      </c>
      <c r="B304">
        <v>15000</v>
      </c>
      <c r="C304" t="s">
        <v>32</v>
      </c>
      <c r="D304" s="2">
        <v>232483551</v>
      </c>
      <c r="E304" s="2">
        <v>21701949</v>
      </c>
      <c r="F304" s="2">
        <v>28212861</v>
      </c>
      <c r="G304" s="2">
        <f t="shared" si="8"/>
        <v>49914810</v>
      </c>
      <c r="H304">
        <f t="shared" si="9"/>
        <v>0.21470254469745259</v>
      </c>
    </row>
    <row r="305" spans="1:8">
      <c r="A305" t="s">
        <v>70</v>
      </c>
      <c r="B305">
        <v>16000</v>
      </c>
      <c r="C305" t="s">
        <v>33</v>
      </c>
      <c r="D305" s="2">
        <v>118179032</v>
      </c>
      <c r="E305" s="2">
        <v>13371799</v>
      </c>
      <c r="F305" s="2">
        <v>13445127</v>
      </c>
      <c r="G305" s="2">
        <f t="shared" si="8"/>
        <v>26816926</v>
      </c>
      <c r="H305">
        <f t="shared" si="9"/>
        <v>0.22691780044365231</v>
      </c>
    </row>
    <row r="306" spans="1:8">
      <c r="A306" t="s">
        <v>70</v>
      </c>
      <c r="B306">
        <v>17000</v>
      </c>
      <c r="C306" t="s">
        <v>34</v>
      </c>
      <c r="D306" s="2">
        <v>123381222</v>
      </c>
      <c r="E306" s="2">
        <v>3341111</v>
      </c>
      <c r="F306" s="2">
        <v>25412645</v>
      </c>
      <c r="G306" s="2">
        <f t="shared" si="8"/>
        <v>28753756</v>
      </c>
      <c r="H306">
        <f t="shared" si="9"/>
        <v>0.23304807274481362</v>
      </c>
    </row>
    <row r="307" spans="1:8">
      <c r="A307" t="s">
        <v>70</v>
      </c>
      <c r="B307">
        <v>18000</v>
      </c>
      <c r="C307" t="s">
        <v>35</v>
      </c>
      <c r="D307" s="2">
        <v>91041389</v>
      </c>
      <c r="E307" s="2">
        <v>9694708</v>
      </c>
      <c r="F307" s="2">
        <v>14704925</v>
      </c>
      <c r="G307" s="2">
        <f t="shared" si="8"/>
        <v>24399633</v>
      </c>
      <c r="H307">
        <f t="shared" si="9"/>
        <v>0.26800593958424779</v>
      </c>
    </row>
    <row r="308" spans="1:8">
      <c r="A308" t="s">
        <v>70</v>
      </c>
      <c r="B308">
        <v>19000</v>
      </c>
      <c r="C308" t="s">
        <v>36</v>
      </c>
      <c r="D308" s="2">
        <v>92924056</v>
      </c>
      <c r="E308" s="2">
        <v>20536118</v>
      </c>
      <c r="F308" s="2">
        <v>14767115</v>
      </c>
      <c r="G308" s="2">
        <f t="shared" si="8"/>
        <v>35303233</v>
      </c>
      <c r="H308">
        <f t="shared" si="9"/>
        <v>0.37991489523444821</v>
      </c>
    </row>
    <row r="309" spans="1:8">
      <c r="A309" t="s">
        <v>70</v>
      </c>
      <c r="B309">
        <v>20000</v>
      </c>
      <c r="C309" t="s">
        <v>37</v>
      </c>
      <c r="D309" s="2">
        <v>212386902</v>
      </c>
      <c r="E309" s="2">
        <v>16274459</v>
      </c>
      <c r="F309" s="2">
        <v>32563118</v>
      </c>
      <c r="G309" s="2">
        <f t="shared" si="8"/>
        <v>48837577</v>
      </c>
      <c r="H309">
        <f t="shared" si="9"/>
        <v>0.22994627512387747</v>
      </c>
    </row>
    <row r="310" spans="1:8">
      <c r="A310" t="s">
        <v>70</v>
      </c>
      <c r="B310">
        <v>21000</v>
      </c>
      <c r="C310" t="s">
        <v>38</v>
      </c>
      <c r="D310" s="2">
        <v>210275432</v>
      </c>
      <c r="E310" s="2">
        <v>15487951</v>
      </c>
      <c r="F310" s="2">
        <v>22331408</v>
      </c>
      <c r="G310" s="2">
        <f t="shared" si="8"/>
        <v>37819359</v>
      </c>
      <c r="H310">
        <f t="shared" si="9"/>
        <v>0.17985628963064026</v>
      </c>
    </row>
    <row r="311" spans="1:8">
      <c r="A311" t="s">
        <v>70</v>
      </c>
      <c r="B311">
        <v>22000</v>
      </c>
      <c r="C311" t="s">
        <v>39</v>
      </c>
      <c r="D311" s="2">
        <v>427609580</v>
      </c>
      <c r="E311" s="2">
        <v>10745513</v>
      </c>
      <c r="F311" s="2">
        <v>33389643</v>
      </c>
      <c r="G311" s="2">
        <f t="shared" si="8"/>
        <v>44135156</v>
      </c>
      <c r="H311">
        <f t="shared" si="9"/>
        <v>0.10321367449251254</v>
      </c>
    </row>
    <row r="312" spans="1:8">
      <c r="A312" t="s">
        <v>70</v>
      </c>
      <c r="B312">
        <v>23000</v>
      </c>
      <c r="C312" t="s">
        <v>40</v>
      </c>
      <c r="D312" s="2">
        <v>906211342</v>
      </c>
      <c r="E312" s="2">
        <v>11344518</v>
      </c>
      <c r="F312" s="2">
        <v>38788598</v>
      </c>
      <c r="G312" s="2">
        <f t="shared" si="8"/>
        <v>50133116</v>
      </c>
      <c r="H312">
        <f t="shared" si="9"/>
        <v>5.5321660275578409E-2</v>
      </c>
    </row>
    <row r="313" spans="1:8">
      <c r="A313" t="s">
        <v>70</v>
      </c>
      <c r="B313">
        <v>24000</v>
      </c>
      <c r="C313" t="s">
        <v>41</v>
      </c>
      <c r="D313" s="2">
        <v>205899641</v>
      </c>
      <c r="E313" s="2">
        <v>11579662</v>
      </c>
      <c r="F313" s="2">
        <v>21492748</v>
      </c>
      <c r="G313" s="2">
        <f t="shared" si="8"/>
        <v>33072410</v>
      </c>
      <c r="H313">
        <f t="shared" si="9"/>
        <v>0.16062393231661826</v>
      </c>
    </row>
    <row r="314" spans="1:8">
      <c r="A314" t="s">
        <v>70</v>
      </c>
      <c r="B314">
        <v>25000</v>
      </c>
      <c r="C314" t="s">
        <v>42</v>
      </c>
      <c r="D314" s="2">
        <v>149076058</v>
      </c>
      <c r="E314" s="2">
        <v>3260231</v>
      </c>
      <c r="F314" s="2">
        <v>17409509</v>
      </c>
      <c r="G314" s="2">
        <f t="shared" si="8"/>
        <v>20669740</v>
      </c>
      <c r="H314">
        <f t="shared" si="9"/>
        <v>0.13865231129199834</v>
      </c>
    </row>
    <row r="315" spans="1:8">
      <c r="A315" t="s">
        <v>70</v>
      </c>
      <c r="B315">
        <v>26000</v>
      </c>
      <c r="C315" t="s">
        <v>43</v>
      </c>
      <c r="D315" s="2">
        <v>263236273</v>
      </c>
      <c r="E315" s="2">
        <v>19453731</v>
      </c>
      <c r="F315" s="2">
        <v>13542467</v>
      </c>
      <c r="G315" s="2">
        <f t="shared" si="8"/>
        <v>32996198</v>
      </c>
      <c r="H315">
        <f t="shared" si="9"/>
        <v>0.12534821901235474</v>
      </c>
    </row>
    <row r="316" spans="1:8">
      <c r="A316" t="s">
        <v>70</v>
      </c>
      <c r="B316">
        <v>27000</v>
      </c>
      <c r="C316" t="s">
        <v>44</v>
      </c>
      <c r="D316" s="2">
        <v>970208279</v>
      </c>
      <c r="E316" s="2">
        <v>5548102</v>
      </c>
      <c r="F316" s="2">
        <v>52129346</v>
      </c>
      <c r="G316" s="2">
        <f t="shared" si="8"/>
        <v>57677448</v>
      </c>
      <c r="H316">
        <f t="shared" si="9"/>
        <v>5.9448521774570426E-2</v>
      </c>
    </row>
    <row r="317" spans="1:8">
      <c r="A317" t="s">
        <v>70</v>
      </c>
      <c r="B317">
        <v>28000</v>
      </c>
      <c r="C317" t="s">
        <v>45</v>
      </c>
      <c r="D317" s="2">
        <v>565021137</v>
      </c>
      <c r="E317" s="2">
        <v>22645664</v>
      </c>
      <c r="F317" s="2">
        <v>47238006</v>
      </c>
      <c r="G317" s="2">
        <f t="shared" si="8"/>
        <v>69883670</v>
      </c>
      <c r="H317">
        <f t="shared" si="9"/>
        <v>0.12368328443613606</v>
      </c>
    </row>
    <row r="318" spans="1:8">
      <c r="A318" t="s">
        <v>70</v>
      </c>
      <c r="B318">
        <v>29000</v>
      </c>
      <c r="C318" t="s">
        <v>46</v>
      </c>
      <c r="D318" s="2">
        <v>116885732</v>
      </c>
      <c r="E318" s="2">
        <v>5729055</v>
      </c>
      <c r="F318" s="2">
        <v>18497679</v>
      </c>
      <c r="G318" s="2">
        <f t="shared" si="8"/>
        <v>24226734</v>
      </c>
      <c r="H318">
        <f t="shared" si="9"/>
        <v>0.20726853128660733</v>
      </c>
    </row>
    <row r="319" spans="1:8">
      <c r="A319" t="s">
        <v>70</v>
      </c>
      <c r="B319">
        <v>30000</v>
      </c>
      <c r="C319" t="s">
        <v>47</v>
      </c>
      <c r="D319" s="2">
        <v>84992613</v>
      </c>
      <c r="E319" s="2">
        <v>26783464</v>
      </c>
      <c r="F319" s="2">
        <v>7816306</v>
      </c>
      <c r="G319" s="2">
        <f t="shared" si="8"/>
        <v>34599770</v>
      </c>
      <c r="H319">
        <f t="shared" si="9"/>
        <v>0.40709149629274255</v>
      </c>
    </row>
    <row r="320" spans="1:8">
      <c r="A320" t="s">
        <v>70</v>
      </c>
      <c r="B320">
        <v>31000</v>
      </c>
      <c r="C320" t="s">
        <v>48</v>
      </c>
      <c r="D320" s="2">
        <v>50482621</v>
      </c>
      <c r="E320" s="2">
        <v>8031560</v>
      </c>
      <c r="F320" s="2">
        <v>25895821</v>
      </c>
      <c r="G320" s="2">
        <f t="shared" si="8"/>
        <v>33927381</v>
      </c>
      <c r="H320">
        <f t="shared" si="9"/>
        <v>0.67206060873899554</v>
      </c>
    </row>
    <row r="321" spans="1:8">
      <c r="A321" t="s">
        <v>70</v>
      </c>
      <c r="B321">
        <v>32000</v>
      </c>
      <c r="C321" t="s">
        <v>49</v>
      </c>
      <c r="D321" s="2">
        <v>62721751</v>
      </c>
      <c r="E321" s="2">
        <v>18141034</v>
      </c>
      <c r="F321" s="2">
        <v>23124490</v>
      </c>
      <c r="G321" s="2">
        <f t="shared" si="8"/>
        <v>41265524</v>
      </c>
      <c r="H321">
        <f t="shared" si="9"/>
        <v>0.65791409426691549</v>
      </c>
    </row>
    <row r="322" spans="1:8">
      <c r="A322" t="s">
        <v>70</v>
      </c>
      <c r="B322">
        <v>33000</v>
      </c>
      <c r="C322" t="s">
        <v>50</v>
      </c>
      <c r="D322" s="2">
        <v>191108408</v>
      </c>
      <c r="E322" s="2">
        <v>7637199</v>
      </c>
      <c r="F322" s="2">
        <v>18582774</v>
      </c>
      <c r="G322" s="2">
        <f t="shared" si="8"/>
        <v>26219973</v>
      </c>
      <c r="H322">
        <f t="shared" si="9"/>
        <v>0.1371994737144166</v>
      </c>
    </row>
    <row r="323" spans="1:8">
      <c r="A323" t="s">
        <v>70</v>
      </c>
      <c r="B323">
        <v>34000</v>
      </c>
      <c r="C323" t="s">
        <v>51</v>
      </c>
      <c r="D323" s="2">
        <v>294054207</v>
      </c>
      <c r="E323" s="2">
        <v>9412067</v>
      </c>
      <c r="F323" s="2">
        <v>38956932</v>
      </c>
      <c r="G323" s="2">
        <f t="shared" ref="G323:G386" si="10">E323+F323</f>
        <v>48368999</v>
      </c>
      <c r="H323">
        <f t="shared" ref="H323:H386" si="11">G323/D323</f>
        <v>0.16449007648443539</v>
      </c>
    </row>
    <row r="324" spans="1:8">
      <c r="A324" t="s">
        <v>70</v>
      </c>
      <c r="B324">
        <v>35000</v>
      </c>
      <c r="C324" t="s">
        <v>52</v>
      </c>
      <c r="D324" s="2">
        <v>140936370</v>
      </c>
      <c r="E324" s="2">
        <v>12584979</v>
      </c>
      <c r="F324" s="2">
        <v>17695878</v>
      </c>
      <c r="G324" s="2">
        <f t="shared" si="10"/>
        <v>30280857</v>
      </c>
      <c r="H324">
        <f t="shared" si="11"/>
        <v>0.21485481001107096</v>
      </c>
    </row>
    <row r="325" spans="1:8">
      <c r="A325" t="s">
        <v>70</v>
      </c>
      <c r="B325">
        <v>36000</v>
      </c>
      <c r="C325" t="s">
        <v>53</v>
      </c>
      <c r="D325" s="2">
        <v>73344164</v>
      </c>
      <c r="E325" s="2">
        <v>8523981</v>
      </c>
      <c r="F325" s="2">
        <v>18629260</v>
      </c>
      <c r="G325" s="2">
        <f t="shared" si="10"/>
        <v>27153241</v>
      </c>
      <c r="H325">
        <f t="shared" si="11"/>
        <v>0.37021679052746448</v>
      </c>
    </row>
    <row r="326" spans="1:8">
      <c r="A326" t="s">
        <v>70</v>
      </c>
      <c r="B326">
        <v>37000</v>
      </c>
      <c r="C326" t="s">
        <v>54</v>
      </c>
      <c r="D326" s="2">
        <v>104857157</v>
      </c>
      <c r="E326" s="2">
        <v>2497508</v>
      </c>
      <c r="F326" s="2">
        <v>15223694</v>
      </c>
      <c r="G326" s="2">
        <f t="shared" si="10"/>
        <v>17721202</v>
      </c>
      <c r="H326">
        <f t="shared" si="11"/>
        <v>0.16900326603361943</v>
      </c>
    </row>
    <row r="327" spans="1:8">
      <c r="A327" t="s">
        <v>70</v>
      </c>
      <c r="B327">
        <v>38000</v>
      </c>
      <c r="C327" t="s">
        <v>55</v>
      </c>
      <c r="D327" s="2">
        <v>128150553</v>
      </c>
      <c r="E327" s="2">
        <v>8932446</v>
      </c>
      <c r="F327" s="2">
        <v>20630481</v>
      </c>
      <c r="G327" s="2">
        <f t="shared" si="10"/>
        <v>29562927</v>
      </c>
      <c r="H327">
        <f t="shared" si="11"/>
        <v>0.23068903182961684</v>
      </c>
    </row>
    <row r="328" spans="1:8">
      <c r="A328" t="s">
        <v>70</v>
      </c>
      <c r="B328">
        <v>39000</v>
      </c>
      <c r="C328" t="s">
        <v>56</v>
      </c>
      <c r="D328" s="2">
        <v>61531290</v>
      </c>
      <c r="E328" s="2">
        <v>11211660</v>
      </c>
      <c r="F328" s="2">
        <v>18216163</v>
      </c>
      <c r="G328" s="2">
        <f t="shared" si="10"/>
        <v>29427823</v>
      </c>
      <c r="H328">
        <f t="shared" si="11"/>
        <v>0.4782578587252112</v>
      </c>
    </row>
    <row r="329" spans="1:8">
      <c r="A329" t="s">
        <v>70</v>
      </c>
      <c r="B329">
        <v>40000</v>
      </c>
      <c r="C329" t="s">
        <v>57</v>
      </c>
      <c r="D329" s="2">
        <v>489781984</v>
      </c>
      <c r="E329" s="2">
        <v>14609482</v>
      </c>
      <c r="F329" s="2">
        <v>36887290</v>
      </c>
      <c r="G329" s="2">
        <f t="shared" si="10"/>
        <v>51496772</v>
      </c>
      <c r="H329">
        <f t="shared" si="11"/>
        <v>0.10514223405979752</v>
      </c>
    </row>
    <row r="330" spans="1:8">
      <c r="A330" t="s">
        <v>70</v>
      </c>
      <c r="B330">
        <v>41000</v>
      </c>
      <c r="C330" t="s">
        <v>58</v>
      </c>
      <c r="D330" s="2">
        <v>76596990</v>
      </c>
      <c r="E330" s="2">
        <v>11492982</v>
      </c>
      <c r="F330" s="2">
        <v>14294035</v>
      </c>
      <c r="G330" s="2">
        <f t="shared" si="10"/>
        <v>25787017</v>
      </c>
      <c r="H330">
        <f t="shared" si="11"/>
        <v>0.33665835955172652</v>
      </c>
    </row>
    <row r="331" spans="1:8">
      <c r="A331" t="s">
        <v>70</v>
      </c>
      <c r="B331">
        <v>42000</v>
      </c>
      <c r="C331" t="s">
        <v>59</v>
      </c>
      <c r="D331" s="2">
        <v>109855750</v>
      </c>
      <c r="E331" s="2">
        <v>30470203</v>
      </c>
      <c r="F331" s="2">
        <v>22840393</v>
      </c>
      <c r="G331" s="2">
        <f t="shared" si="10"/>
        <v>53310596</v>
      </c>
      <c r="H331">
        <f t="shared" si="11"/>
        <v>0.48527815794803641</v>
      </c>
    </row>
    <row r="332" spans="1:8">
      <c r="A332" t="s">
        <v>70</v>
      </c>
      <c r="B332">
        <v>43000</v>
      </c>
      <c r="C332" t="s">
        <v>60</v>
      </c>
      <c r="D332" s="2">
        <v>152122665</v>
      </c>
      <c r="E332" s="2">
        <v>13656078</v>
      </c>
      <c r="F332" s="2">
        <v>45801294</v>
      </c>
      <c r="G332" s="2">
        <f t="shared" si="10"/>
        <v>59457372</v>
      </c>
      <c r="H332">
        <f t="shared" si="11"/>
        <v>0.39085150131967517</v>
      </c>
    </row>
    <row r="333" spans="1:8">
      <c r="A333" t="s">
        <v>70</v>
      </c>
      <c r="B333">
        <v>44000</v>
      </c>
      <c r="C333" t="s">
        <v>61</v>
      </c>
      <c r="D333" s="2">
        <v>104592952</v>
      </c>
      <c r="E333" s="2">
        <v>14839896</v>
      </c>
      <c r="F333" s="2">
        <v>18772522</v>
      </c>
      <c r="G333" s="2">
        <f t="shared" si="10"/>
        <v>33612418</v>
      </c>
      <c r="H333">
        <f t="shared" si="11"/>
        <v>0.32136408196988264</v>
      </c>
    </row>
    <row r="334" spans="1:8">
      <c r="A334" t="s">
        <v>70</v>
      </c>
      <c r="B334">
        <v>45000</v>
      </c>
      <c r="C334" t="s">
        <v>62</v>
      </c>
      <c r="D334" s="2">
        <v>93559676</v>
      </c>
      <c r="E334" s="2">
        <v>35553685</v>
      </c>
      <c r="F334" s="2">
        <v>11336596</v>
      </c>
      <c r="G334" s="2">
        <f t="shared" si="10"/>
        <v>46890281</v>
      </c>
      <c r="H334">
        <f t="shared" si="11"/>
        <v>0.501180455135394</v>
      </c>
    </row>
    <row r="335" spans="1:8">
      <c r="A335" t="s">
        <v>70</v>
      </c>
      <c r="B335">
        <v>46000</v>
      </c>
      <c r="C335" t="s">
        <v>63</v>
      </c>
      <c r="D335" s="2">
        <v>132466947</v>
      </c>
      <c r="E335" s="2">
        <v>24738727</v>
      </c>
      <c r="F335" s="2">
        <v>31370320</v>
      </c>
      <c r="G335" s="2">
        <f t="shared" si="10"/>
        <v>56109047</v>
      </c>
      <c r="H335">
        <f t="shared" si="11"/>
        <v>0.42357016803595543</v>
      </c>
    </row>
    <row r="336" spans="1:8">
      <c r="A336" t="s">
        <v>70</v>
      </c>
      <c r="B336">
        <v>47000</v>
      </c>
      <c r="C336" t="s">
        <v>64</v>
      </c>
      <c r="D336" s="2">
        <v>98838020</v>
      </c>
      <c r="E336" s="2">
        <v>37511042</v>
      </c>
      <c r="F336" s="2">
        <v>31150646</v>
      </c>
      <c r="G336" s="2">
        <f t="shared" si="10"/>
        <v>68661688</v>
      </c>
      <c r="H336">
        <f t="shared" si="11"/>
        <v>0.69468902756247042</v>
      </c>
    </row>
    <row r="337" spans="1:8">
      <c r="A337" t="s">
        <v>71</v>
      </c>
      <c r="B337" s="1" t="s">
        <v>7</v>
      </c>
      <c r="C337" t="s">
        <v>8</v>
      </c>
      <c r="D337" s="2">
        <v>15932317566</v>
      </c>
      <c r="E337" s="2">
        <v>1323742544</v>
      </c>
      <c r="F337" s="2">
        <v>1529042959</v>
      </c>
      <c r="G337" s="2">
        <f t="shared" si="10"/>
        <v>2852785503</v>
      </c>
      <c r="H337">
        <f t="shared" si="11"/>
        <v>0.17905653029964216</v>
      </c>
    </row>
    <row r="338" spans="1:8">
      <c r="A338" t="s">
        <v>71</v>
      </c>
      <c r="B338" s="1" t="s">
        <v>9</v>
      </c>
      <c r="C338" t="s">
        <v>10</v>
      </c>
      <c r="D338" s="2">
        <v>544484956</v>
      </c>
      <c r="E338" s="2">
        <v>91993903</v>
      </c>
      <c r="F338" s="2">
        <v>72966405</v>
      </c>
      <c r="G338" s="2">
        <f t="shared" si="10"/>
        <v>164960308</v>
      </c>
      <c r="H338">
        <f t="shared" si="11"/>
        <v>0.30296577744197584</v>
      </c>
    </row>
    <row r="339" spans="1:8">
      <c r="A339" t="s">
        <v>71</v>
      </c>
      <c r="B339" s="1" t="s">
        <v>11</v>
      </c>
      <c r="C339" t="s">
        <v>12</v>
      </c>
      <c r="D339" s="2">
        <v>137474433</v>
      </c>
      <c r="E339" s="2">
        <v>26886528</v>
      </c>
      <c r="F339" s="2">
        <v>31614910</v>
      </c>
      <c r="G339" s="2">
        <f t="shared" si="10"/>
        <v>58501438</v>
      </c>
      <c r="H339">
        <f t="shared" si="11"/>
        <v>0.42554413008562836</v>
      </c>
    </row>
    <row r="340" spans="1:8">
      <c r="A340" t="s">
        <v>71</v>
      </c>
      <c r="B340" s="1" t="s">
        <v>13</v>
      </c>
      <c r="C340" t="s">
        <v>14</v>
      </c>
      <c r="D340" s="2">
        <v>114787545</v>
      </c>
      <c r="E340" s="2">
        <v>24551959</v>
      </c>
      <c r="F340" s="2">
        <v>33363815</v>
      </c>
      <c r="G340" s="2">
        <f t="shared" si="10"/>
        <v>57915774</v>
      </c>
      <c r="H340">
        <f t="shared" si="11"/>
        <v>0.50454754477064567</v>
      </c>
    </row>
    <row r="341" spans="1:8">
      <c r="A341" t="s">
        <v>71</v>
      </c>
      <c r="B341" s="1" t="s">
        <v>15</v>
      </c>
      <c r="C341" t="s">
        <v>16</v>
      </c>
      <c r="D341" s="2">
        <v>237822266</v>
      </c>
      <c r="E341" s="2">
        <v>17960193</v>
      </c>
      <c r="F341" s="2">
        <v>30223364</v>
      </c>
      <c r="G341" s="2">
        <f t="shared" si="10"/>
        <v>48183557</v>
      </c>
      <c r="H341">
        <f t="shared" si="11"/>
        <v>0.20260322050753649</v>
      </c>
    </row>
    <row r="342" spans="1:8">
      <c r="A342" t="s">
        <v>71</v>
      </c>
      <c r="B342" s="1" t="s">
        <v>17</v>
      </c>
      <c r="C342" t="s">
        <v>18</v>
      </c>
      <c r="D342" s="2">
        <v>90996282</v>
      </c>
      <c r="E342" s="2">
        <v>25838595</v>
      </c>
      <c r="F342" s="2">
        <v>21707200</v>
      </c>
      <c r="G342" s="2">
        <f t="shared" si="10"/>
        <v>47545795</v>
      </c>
      <c r="H342">
        <f t="shared" si="11"/>
        <v>0.52250261170011325</v>
      </c>
    </row>
    <row r="343" spans="1:8">
      <c r="A343" t="s">
        <v>71</v>
      </c>
      <c r="B343" s="1" t="s">
        <v>19</v>
      </c>
      <c r="C343" t="s">
        <v>20</v>
      </c>
      <c r="D343" s="2">
        <v>100503027</v>
      </c>
      <c r="E343" s="2">
        <v>11722158</v>
      </c>
      <c r="F343" s="2">
        <v>22463250</v>
      </c>
      <c r="G343" s="2">
        <f t="shared" si="10"/>
        <v>34185408</v>
      </c>
      <c r="H343">
        <f t="shared" si="11"/>
        <v>0.3401430685266823</v>
      </c>
    </row>
    <row r="344" spans="1:8">
      <c r="A344" t="s">
        <v>71</v>
      </c>
      <c r="B344" s="1" t="s">
        <v>21</v>
      </c>
      <c r="C344" t="s">
        <v>22</v>
      </c>
      <c r="D344" s="2">
        <v>195867347</v>
      </c>
      <c r="E344" s="2">
        <v>22791839</v>
      </c>
      <c r="F344" s="2">
        <v>33845156</v>
      </c>
      <c r="G344" s="2">
        <f t="shared" si="10"/>
        <v>56636995</v>
      </c>
      <c r="H344">
        <f t="shared" si="11"/>
        <v>0.28915996396275279</v>
      </c>
    </row>
    <row r="345" spans="1:8">
      <c r="A345" t="s">
        <v>71</v>
      </c>
      <c r="B345" s="1" t="s">
        <v>23</v>
      </c>
      <c r="C345" t="s">
        <v>24</v>
      </c>
      <c r="D345" s="2">
        <v>324881172</v>
      </c>
      <c r="E345" s="2">
        <v>16254889</v>
      </c>
      <c r="F345" s="2">
        <v>31831799</v>
      </c>
      <c r="G345" s="2">
        <f t="shared" si="10"/>
        <v>48086688</v>
      </c>
      <c r="H345">
        <f t="shared" si="11"/>
        <v>0.14801315725369274</v>
      </c>
    </row>
    <row r="346" spans="1:8">
      <c r="A346" t="s">
        <v>71</v>
      </c>
      <c r="B346" s="1" t="s">
        <v>25</v>
      </c>
      <c r="C346" t="s">
        <v>26</v>
      </c>
      <c r="D346" s="2">
        <v>224951161</v>
      </c>
      <c r="E346" s="2">
        <v>13504234</v>
      </c>
      <c r="F346" s="2">
        <v>29278428</v>
      </c>
      <c r="G346" s="2">
        <f t="shared" si="10"/>
        <v>42782662</v>
      </c>
      <c r="H346">
        <f t="shared" si="11"/>
        <v>0.19018644673720977</v>
      </c>
    </row>
    <row r="347" spans="1:8">
      <c r="A347" t="s">
        <v>71</v>
      </c>
      <c r="B347">
        <v>10000</v>
      </c>
      <c r="C347" t="s">
        <v>27</v>
      </c>
      <c r="D347" s="2">
        <v>211582978</v>
      </c>
      <c r="E347" s="2">
        <v>19642274</v>
      </c>
      <c r="F347" s="2">
        <v>22113835</v>
      </c>
      <c r="G347" s="2">
        <f t="shared" si="10"/>
        <v>41756109</v>
      </c>
      <c r="H347">
        <f t="shared" si="11"/>
        <v>0.1973509844445048</v>
      </c>
    </row>
    <row r="348" spans="1:8">
      <c r="A348" t="s">
        <v>71</v>
      </c>
      <c r="B348">
        <v>11000</v>
      </c>
      <c r="C348" t="s">
        <v>28</v>
      </c>
      <c r="D348" s="2">
        <v>700316956</v>
      </c>
      <c r="E348" s="2">
        <v>21154757</v>
      </c>
      <c r="F348" s="2">
        <v>38195093</v>
      </c>
      <c r="G348" s="2">
        <f t="shared" si="10"/>
        <v>59349850</v>
      </c>
      <c r="H348">
        <f t="shared" si="11"/>
        <v>8.474712698517041E-2</v>
      </c>
    </row>
    <row r="349" spans="1:8">
      <c r="A349" t="s">
        <v>71</v>
      </c>
      <c r="B349">
        <v>12000</v>
      </c>
      <c r="C349" t="s">
        <v>29</v>
      </c>
      <c r="D349" s="2">
        <v>637722815</v>
      </c>
      <c r="E349" s="2">
        <v>25631683</v>
      </c>
      <c r="F349" s="2">
        <v>50588693</v>
      </c>
      <c r="G349" s="2">
        <f t="shared" si="10"/>
        <v>76220376</v>
      </c>
      <c r="H349">
        <f t="shared" si="11"/>
        <v>0.11951960037685025</v>
      </c>
    </row>
    <row r="350" spans="1:8">
      <c r="A350" t="s">
        <v>71</v>
      </c>
      <c r="B350">
        <v>13000</v>
      </c>
      <c r="C350" t="s">
        <v>30</v>
      </c>
      <c r="D350" s="2">
        <v>4190131675</v>
      </c>
      <c r="E350" s="2">
        <v>69585647</v>
      </c>
      <c r="F350" s="2">
        <v>104247792</v>
      </c>
      <c r="G350" s="2">
        <f t="shared" si="10"/>
        <v>173833439</v>
      </c>
      <c r="H350">
        <f t="shared" si="11"/>
        <v>4.1486390520173805E-2</v>
      </c>
    </row>
    <row r="351" spans="1:8">
      <c r="A351" t="s">
        <v>71</v>
      </c>
      <c r="B351">
        <v>14000</v>
      </c>
      <c r="C351" t="s">
        <v>31</v>
      </c>
      <c r="D351" s="2">
        <v>999548117</v>
      </c>
      <c r="E351" s="2">
        <v>13834703</v>
      </c>
      <c r="F351" s="2">
        <v>32697152</v>
      </c>
      <c r="G351" s="2">
        <f t="shared" si="10"/>
        <v>46531855</v>
      </c>
      <c r="H351">
        <f t="shared" si="11"/>
        <v>4.6552891460251732E-2</v>
      </c>
    </row>
    <row r="352" spans="1:8">
      <c r="A352" t="s">
        <v>71</v>
      </c>
      <c r="B352">
        <v>15000</v>
      </c>
      <c r="C352" t="s">
        <v>32</v>
      </c>
      <c r="D352" s="2">
        <v>232916620</v>
      </c>
      <c r="E352" s="2">
        <v>39914957</v>
      </c>
      <c r="F352" s="2">
        <v>32690223</v>
      </c>
      <c r="G352" s="2">
        <f t="shared" si="10"/>
        <v>72605180</v>
      </c>
      <c r="H352">
        <f t="shared" si="11"/>
        <v>0.31172176549702635</v>
      </c>
    </row>
    <row r="353" spans="1:8">
      <c r="A353" t="s">
        <v>71</v>
      </c>
      <c r="B353">
        <v>16000</v>
      </c>
      <c r="C353" t="s">
        <v>33</v>
      </c>
      <c r="D353" s="2">
        <v>115937565</v>
      </c>
      <c r="E353" s="2">
        <v>18367867</v>
      </c>
      <c r="F353" s="2">
        <v>17041746</v>
      </c>
      <c r="G353" s="2">
        <f t="shared" si="10"/>
        <v>35409613</v>
      </c>
      <c r="H353">
        <f t="shared" si="11"/>
        <v>0.30541967135500903</v>
      </c>
    </row>
    <row r="354" spans="1:8">
      <c r="A354" t="s">
        <v>71</v>
      </c>
      <c r="B354">
        <v>17000</v>
      </c>
      <c r="C354" t="s">
        <v>34</v>
      </c>
      <c r="D354" s="2">
        <v>123316369</v>
      </c>
      <c r="E354" s="2">
        <v>19222142</v>
      </c>
      <c r="F354" s="2">
        <v>19790866</v>
      </c>
      <c r="G354" s="2">
        <f t="shared" si="10"/>
        <v>39013008</v>
      </c>
      <c r="H354">
        <f t="shared" si="11"/>
        <v>0.31636520209251379</v>
      </c>
    </row>
    <row r="355" spans="1:8">
      <c r="A355" t="s">
        <v>71</v>
      </c>
      <c r="B355">
        <v>18000</v>
      </c>
      <c r="C355" t="s">
        <v>35</v>
      </c>
      <c r="D355" s="2">
        <v>95640652</v>
      </c>
      <c r="E355" s="2">
        <v>16029681</v>
      </c>
      <c r="F355" s="2">
        <v>15314262</v>
      </c>
      <c r="G355" s="2">
        <f t="shared" si="10"/>
        <v>31343943</v>
      </c>
      <c r="H355">
        <f t="shared" si="11"/>
        <v>0.32772615351890322</v>
      </c>
    </row>
    <row r="356" spans="1:8">
      <c r="A356" t="s">
        <v>71</v>
      </c>
      <c r="B356">
        <v>19000</v>
      </c>
      <c r="C356" t="s">
        <v>36</v>
      </c>
      <c r="D356" s="2">
        <v>92117125</v>
      </c>
      <c r="E356" s="2">
        <v>30090302</v>
      </c>
      <c r="F356" s="2">
        <v>13212933</v>
      </c>
      <c r="G356" s="2">
        <f t="shared" si="10"/>
        <v>43303235</v>
      </c>
      <c r="H356">
        <f t="shared" si="11"/>
        <v>0.47008886784080595</v>
      </c>
    </row>
    <row r="357" spans="1:8">
      <c r="A357" t="s">
        <v>71</v>
      </c>
      <c r="B357">
        <v>20000</v>
      </c>
      <c r="C357" t="s">
        <v>37</v>
      </c>
      <c r="D357" s="2">
        <v>213527477</v>
      </c>
      <c r="E357" s="2">
        <v>30329362</v>
      </c>
      <c r="F357" s="2">
        <v>25856421</v>
      </c>
      <c r="G357" s="2">
        <f t="shared" si="10"/>
        <v>56185783</v>
      </c>
      <c r="H357">
        <f t="shared" si="11"/>
        <v>0.26313139549717063</v>
      </c>
    </row>
    <row r="358" spans="1:8">
      <c r="A358" t="s">
        <v>71</v>
      </c>
      <c r="B358">
        <v>21000</v>
      </c>
      <c r="C358" t="s">
        <v>38</v>
      </c>
      <c r="D358" s="2">
        <v>209898774</v>
      </c>
      <c r="E358" s="2">
        <v>27845282</v>
      </c>
      <c r="F358" s="2">
        <v>23953529</v>
      </c>
      <c r="G358" s="2">
        <f t="shared" si="10"/>
        <v>51798811</v>
      </c>
      <c r="H358">
        <f t="shared" si="11"/>
        <v>0.24677995975336187</v>
      </c>
    </row>
    <row r="359" spans="1:8">
      <c r="A359" t="s">
        <v>71</v>
      </c>
      <c r="B359">
        <v>22000</v>
      </c>
      <c r="C359" t="s">
        <v>39</v>
      </c>
      <c r="D359" s="2">
        <v>431959417</v>
      </c>
      <c r="E359" s="2">
        <v>26410132</v>
      </c>
      <c r="F359" s="2">
        <v>41852583</v>
      </c>
      <c r="G359" s="2">
        <f t="shared" si="10"/>
        <v>68262715</v>
      </c>
      <c r="H359">
        <f t="shared" si="11"/>
        <v>0.15803038969283542</v>
      </c>
    </row>
    <row r="360" spans="1:8">
      <c r="A360" t="s">
        <v>71</v>
      </c>
      <c r="B360">
        <v>23000</v>
      </c>
      <c r="C360" t="s">
        <v>40</v>
      </c>
      <c r="D360" s="2">
        <v>926684700</v>
      </c>
      <c r="E360" s="2">
        <v>28555279</v>
      </c>
      <c r="F360" s="2">
        <v>41969855</v>
      </c>
      <c r="G360" s="2">
        <f t="shared" si="10"/>
        <v>70525134</v>
      </c>
      <c r="H360">
        <f t="shared" si="11"/>
        <v>7.6104778680386106E-2</v>
      </c>
    </row>
    <row r="361" spans="1:8">
      <c r="A361" t="s">
        <v>71</v>
      </c>
      <c r="B361">
        <v>24000</v>
      </c>
      <c r="C361" t="s">
        <v>41</v>
      </c>
      <c r="D361" s="2">
        <v>205248104</v>
      </c>
      <c r="E361" s="2">
        <v>22342663</v>
      </c>
      <c r="F361" s="2">
        <v>19366148</v>
      </c>
      <c r="G361" s="2">
        <f t="shared" si="10"/>
        <v>41708811</v>
      </c>
      <c r="H361">
        <f t="shared" si="11"/>
        <v>0.20321167497849335</v>
      </c>
    </row>
    <row r="362" spans="1:8">
      <c r="A362" t="s">
        <v>71</v>
      </c>
      <c r="B362">
        <v>25000</v>
      </c>
      <c r="C362" t="s">
        <v>42</v>
      </c>
      <c r="D362" s="2">
        <v>148471382</v>
      </c>
      <c r="E362" s="2">
        <v>12684186</v>
      </c>
      <c r="F362" s="2">
        <v>17507805</v>
      </c>
      <c r="G362" s="2">
        <f t="shared" si="10"/>
        <v>30191991</v>
      </c>
      <c r="H362">
        <f t="shared" si="11"/>
        <v>0.20335225949469507</v>
      </c>
    </row>
    <row r="363" spans="1:8">
      <c r="A363" t="s">
        <v>71</v>
      </c>
      <c r="B363">
        <v>26000</v>
      </c>
      <c r="C363" t="s">
        <v>43</v>
      </c>
      <c r="D363" s="2">
        <v>264845358</v>
      </c>
      <c r="E363" s="2">
        <v>19310051</v>
      </c>
      <c r="F363" s="2">
        <v>26134514</v>
      </c>
      <c r="G363" s="2">
        <f t="shared" si="10"/>
        <v>45444565</v>
      </c>
      <c r="H363">
        <f t="shared" si="11"/>
        <v>0.17158905613138969</v>
      </c>
    </row>
    <row r="364" spans="1:8">
      <c r="A364" t="s">
        <v>71</v>
      </c>
      <c r="B364">
        <v>27000</v>
      </c>
      <c r="C364" t="s">
        <v>44</v>
      </c>
      <c r="D364" s="2">
        <v>985968006</v>
      </c>
      <c r="E364" s="2">
        <v>13937412</v>
      </c>
      <c r="F364" s="2">
        <v>74291475</v>
      </c>
      <c r="G364" s="2">
        <f t="shared" si="10"/>
        <v>88228887</v>
      </c>
      <c r="H364">
        <f t="shared" si="11"/>
        <v>8.9484533436270552E-2</v>
      </c>
    </row>
    <row r="365" spans="1:8">
      <c r="A365" t="s">
        <v>71</v>
      </c>
      <c r="B365">
        <v>28000</v>
      </c>
      <c r="C365" t="s">
        <v>45</v>
      </c>
      <c r="D365" s="2">
        <v>573906206</v>
      </c>
      <c r="E365" s="2">
        <v>47829986</v>
      </c>
      <c r="F365" s="2">
        <v>56814613</v>
      </c>
      <c r="G365" s="2">
        <f t="shared" si="10"/>
        <v>104644599</v>
      </c>
      <c r="H365">
        <f t="shared" si="11"/>
        <v>0.18233745846616617</v>
      </c>
    </row>
    <row r="366" spans="1:8">
      <c r="A366" t="s">
        <v>71</v>
      </c>
      <c r="B366">
        <v>29000</v>
      </c>
      <c r="C366" t="s">
        <v>46</v>
      </c>
      <c r="D366" s="2">
        <v>119144081</v>
      </c>
      <c r="E366" s="2">
        <v>12334365</v>
      </c>
      <c r="F366" s="2">
        <v>17071207</v>
      </c>
      <c r="G366" s="2">
        <f t="shared" si="10"/>
        <v>29405572</v>
      </c>
      <c r="H366">
        <f t="shared" si="11"/>
        <v>0.24680682206949081</v>
      </c>
    </row>
    <row r="367" spans="1:8">
      <c r="A367" t="s">
        <v>71</v>
      </c>
      <c r="B367">
        <v>30000</v>
      </c>
      <c r="C367" t="s">
        <v>47</v>
      </c>
      <c r="D367" s="2">
        <v>85309423</v>
      </c>
      <c r="E367" s="2">
        <v>24010020</v>
      </c>
      <c r="F367" s="2">
        <v>13673707</v>
      </c>
      <c r="G367" s="2">
        <f t="shared" si="10"/>
        <v>37683727</v>
      </c>
      <c r="H367">
        <f t="shared" si="11"/>
        <v>0.44172994816762506</v>
      </c>
    </row>
    <row r="368" spans="1:8">
      <c r="A368" t="s">
        <v>71</v>
      </c>
      <c r="B368">
        <v>31000</v>
      </c>
      <c r="C368" t="s">
        <v>48</v>
      </c>
      <c r="D368" s="2">
        <v>51469510</v>
      </c>
      <c r="E368" s="2">
        <v>16094212</v>
      </c>
      <c r="F368" s="2">
        <v>24232022</v>
      </c>
      <c r="G368" s="2">
        <f t="shared" si="10"/>
        <v>40326234</v>
      </c>
      <c r="H368">
        <f t="shared" si="11"/>
        <v>0.78349753086827523</v>
      </c>
    </row>
    <row r="369" spans="1:8">
      <c r="A369" t="s">
        <v>71</v>
      </c>
      <c r="B369">
        <v>32000</v>
      </c>
      <c r="C369" t="s">
        <v>49</v>
      </c>
      <c r="D369" s="2">
        <v>62940763</v>
      </c>
      <c r="E369" s="2">
        <v>28618879</v>
      </c>
      <c r="F369" s="2">
        <v>31332419</v>
      </c>
      <c r="G369" s="2">
        <f t="shared" si="10"/>
        <v>59951298</v>
      </c>
      <c r="H369">
        <f t="shared" si="11"/>
        <v>0.95250351509084819</v>
      </c>
    </row>
    <row r="370" spans="1:8">
      <c r="A370" t="s">
        <v>71</v>
      </c>
      <c r="B370">
        <v>33000</v>
      </c>
      <c r="C370" t="s">
        <v>50</v>
      </c>
      <c r="D370" s="2">
        <v>192771916</v>
      </c>
      <c r="E370" s="2">
        <v>15887315</v>
      </c>
      <c r="F370" s="2">
        <v>26071428</v>
      </c>
      <c r="G370" s="2">
        <f t="shared" si="10"/>
        <v>41958743</v>
      </c>
      <c r="H370">
        <f t="shared" si="11"/>
        <v>0.21766004027267125</v>
      </c>
    </row>
    <row r="371" spans="1:8">
      <c r="A371" t="s">
        <v>71</v>
      </c>
      <c r="B371">
        <v>34000</v>
      </c>
      <c r="C371" t="s">
        <v>51</v>
      </c>
      <c r="D371" s="2">
        <v>300080843</v>
      </c>
      <c r="E371" s="2">
        <v>20789976</v>
      </c>
      <c r="F371" s="2">
        <v>44196855</v>
      </c>
      <c r="G371" s="2">
        <f t="shared" si="10"/>
        <v>64986831</v>
      </c>
      <c r="H371">
        <f t="shared" si="11"/>
        <v>0.21656441094442005</v>
      </c>
    </row>
    <row r="372" spans="1:8">
      <c r="A372" t="s">
        <v>71</v>
      </c>
      <c r="B372">
        <v>35000</v>
      </c>
      <c r="C372" t="s">
        <v>52</v>
      </c>
      <c r="D372" s="2">
        <v>141449209</v>
      </c>
      <c r="E372" s="2">
        <v>30412473</v>
      </c>
      <c r="F372" s="2">
        <v>18277411</v>
      </c>
      <c r="G372" s="2">
        <f t="shared" si="10"/>
        <v>48689884</v>
      </c>
      <c r="H372">
        <f t="shared" si="11"/>
        <v>0.34422167747859234</v>
      </c>
    </row>
    <row r="373" spans="1:8">
      <c r="A373" t="s">
        <v>71</v>
      </c>
      <c r="B373">
        <v>36000</v>
      </c>
      <c r="C373" t="s">
        <v>53</v>
      </c>
      <c r="D373" s="2">
        <v>75919180</v>
      </c>
      <c r="E373" s="2">
        <v>16569367</v>
      </c>
      <c r="F373" s="2">
        <v>21836952</v>
      </c>
      <c r="G373" s="2">
        <f t="shared" si="10"/>
        <v>38406319</v>
      </c>
      <c r="H373">
        <f t="shared" si="11"/>
        <v>0.50588427061514629</v>
      </c>
    </row>
    <row r="374" spans="1:8">
      <c r="A374" t="s">
        <v>71</v>
      </c>
      <c r="B374">
        <v>37000</v>
      </c>
      <c r="C374" t="s">
        <v>54</v>
      </c>
      <c r="D374" s="2">
        <v>106102173</v>
      </c>
      <c r="E374" s="2">
        <v>9355136</v>
      </c>
      <c r="F374" s="2">
        <v>17147661</v>
      </c>
      <c r="G374" s="2">
        <f t="shared" si="10"/>
        <v>26502797</v>
      </c>
      <c r="H374">
        <f t="shared" si="11"/>
        <v>0.24978561937652305</v>
      </c>
    </row>
    <row r="375" spans="1:8">
      <c r="A375" t="s">
        <v>71</v>
      </c>
      <c r="B375">
        <v>38000</v>
      </c>
      <c r="C375" t="s">
        <v>55</v>
      </c>
      <c r="D375" s="2">
        <v>132132277</v>
      </c>
      <c r="E375" s="2">
        <v>19868397</v>
      </c>
      <c r="F375" s="2">
        <v>19107207</v>
      </c>
      <c r="G375" s="2">
        <f t="shared" si="10"/>
        <v>38975604</v>
      </c>
      <c r="H375">
        <f t="shared" si="11"/>
        <v>0.29497413413983625</v>
      </c>
    </row>
    <row r="376" spans="1:8">
      <c r="A376" t="s">
        <v>71</v>
      </c>
      <c r="B376">
        <v>39000</v>
      </c>
      <c r="C376" t="s">
        <v>56</v>
      </c>
      <c r="D376" s="2">
        <v>61388681</v>
      </c>
      <c r="E376" s="2">
        <v>19746663</v>
      </c>
      <c r="F376" s="2">
        <v>22437000</v>
      </c>
      <c r="G376" s="2">
        <f t="shared" si="10"/>
        <v>42183663</v>
      </c>
      <c r="H376">
        <f t="shared" si="11"/>
        <v>0.68715701840865417</v>
      </c>
    </row>
    <row r="377" spans="1:8">
      <c r="A377" t="s">
        <v>71</v>
      </c>
      <c r="B377">
        <v>40000</v>
      </c>
      <c r="C377" t="s">
        <v>57</v>
      </c>
      <c r="D377" s="2">
        <v>492229814</v>
      </c>
      <c r="E377" s="2">
        <v>39829020</v>
      </c>
      <c r="F377" s="2">
        <v>40971265</v>
      </c>
      <c r="G377" s="2">
        <f t="shared" si="10"/>
        <v>80800285</v>
      </c>
      <c r="H377">
        <f t="shared" si="11"/>
        <v>0.16415154609062343</v>
      </c>
    </row>
    <row r="378" spans="1:8">
      <c r="A378" t="s">
        <v>71</v>
      </c>
      <c r="B378">
        <v>41000</v>
      </c>
      <c r="C378" t="s">
        <v>58</v>
      </c>
      <c r="D378" s="2">
        <v>79061164</v>
      </c>
      <c r="E378" s="2">
        <v>18013547</v>
      </c>
      <c r="F378" s="2">
        <v>20903847</v>
      </c>
      <c r="G378" s="2">
        <f t="shared" si="10"/>
        <v>38917394</v>
      </c>
      <c r="H378">
        <f t="shared" si="11"/>
        <v>0.49224413139174122</v>
      </c>
    </row>
    <row r="379" spans="1:8">
      <c r="A379" t="s">
        <v>71</v>
      </c>
      <c r="B379">
        <v>42000</v>
      </c>
      <c r="C379" t="s">
        <v>59</v>
      </c>
      <c r="D379" s="2">
        <v>110774600</v>
      </c>
      <c r="E379" s="2">
        <v>42190607</v>
      </c>
      <c r="F379" s="2">
        <v>29256279</v>
      </c>
      <c r="G379" s="2">
        <f t="shared" si="10"/>
        <v>71446886</v>
      </c>
      <c r="H379">
        <f t="shared" si="11"/>
        <v>0.64497534633390685</v>
      </c>
    </row>
    <row r="380" spans="1:8">
      <c r="A380" t="s">
        <v>71</v>
      </c>
      <c r="B380">
        <v>43000</v>
      </c>
      <c r="C380" t="s">
        <v>60</v>
      </c>
      <c r="D380" s="2">
        <v>151718611</v>
      </c>
      <c r="E380" s="2">
        <v>47987272</v>
      </c>
      <c r="F380" s="2">
        <v>74219690</v>
      </c>
      <c r="G380" s="2">
        <f t="shared" si="10"/>
        <v>122206962</v>
      </c>
      <c r="H380">
        <f t="shared" si="11"/>
        <v>0.80548431859819758</v>
      </c>
    </row>
    <row r="381" spans="1:8">
      <c r="A381" t="s">
        <v>71</v>
      </c>
      <c r="B381">
        <v>44000</v>
      </c>
      <c r="C381" t="s">
        <v>61</v>
      </c>
      <c r="D381" s="2">
        <v>106254685</v>
      </c>
      <c r="E381" s="2">
        <v>27767626</v>
      </c>
      <c r="F381" s="2">
        <v>23411207</v>
      </c>
      <c r="G381" s="2">
        <f t="shared" si="10"/>
        <v>51178833</v>
      </c>
      <c r="H381">
        <f t="shared" si="11"/>
        <v>0.48166189566135365</v>
      </c>
    </row>
    <row r="382" spans="1:8">
      <c r="A382" t="s">
        <v>71</v>
      </c>
      <c r="B382">
        <v>45000</v>
      </c>
      <c r="C382" t="s">
        <v>62</v>
      </c>
      <c r="D382" s="2">
        <v>93894597</v>
      </c>
      <c r="E382" s="2">
        <v>26432635</v>
      </c>
      <c r="F382" s="2">
        <v>51553620</v>
      </c>
      <c r="G382" s="2">
        <f t="shared" si="10"/>
        <v>77986255</v>
      </c>
      <c r="H382">
        <f t="shared" si="11"/>
        <v>0.83057233847012513</v>
      </c>
    </row>
    <row r="383" spans="1:8">
      <c r="A383" t="s">
        <v>71</v>
      </c>
      <c r="B383">
        <v>46000</v>
      </c>
      <c r="C383" t="s">
        <v>63</v>
      </c>
      <c r="D383" s="2">
        <v>136871402</v>
      </c>
      <c r="E383" s="2">
        <v>63156702</v>
      </c>
      <c r="F383" s="2">
        <v>23354485</v>
      </c>
      <c r="G383" s="2">
        <f t="shared" si="10"/>
        <v>86511187</v>
      </c>
      <c r="H383">
        <f t="shared" si="11"/>
        <v>0.63206181668249439</v>
      </c>
    </row>
    <row r="384" spans="1:8">
      <c r="A384" t="s">
        <v>71</v>
      </c>
      <c r="B384">
        <v>47000</v>
      </c>
      <c r="C384" t="s">
        <v>64</v>
      </c>
      <c r="D384" s="2">
        <v>101296152</v>
      </c>
      <c r="E384" s="2">
        <v>90455668</v>
      </c>
      <c r="F384" s="2">
        <v>29054832</v>
      </c>
      <c r="G384" s="2">
        <f t="shared" si="10"/>
        <v>119510500</v>
      </c>
      <c r="H384">
        <f t="shared" si="11"/>
        <v>1.1798128323768904</v>
      </c>
    </row>
    <row r="385" spans="1:8">
      <c r="A385" t="s">
        <v>72</v>
      </c>
      <c r="B385" s="1" t="s">
        <v>7</v>
      </c>
      <c r="C385" t="s">
        <v>8</v>
      </c>
      <c r="D385" s="2">
        <v>16508841365</v>
      </c>
      <c r="E385" s="2">
        <v>2486400447</v>
      </c>
      <c r="F385" s="2">
        <v>3261064060</v>
      </c>
      <c r="G385" s="2">
        <f t="shared" si="10"/>
        <v>5747464507</v>
      </c>
      <c r="H385">
        <f t="shared" si="11"/>
        <v>0.34814463231714504</v>
      </c>
    </row>
    <row r="386" spans="1:8">
      <c r="A386" t="s">
        <v>72</v>
      </c>
      <c r="B386" s="1" t="s">
        <v>9</v>
      </c>
      <c r="C386" t="s">
        <v>10</v>
      </c>
      <c r="D386" s="2">
        <v>563053214</v>
      </c>
      <c r="E386" s="2">
        <v>234621309</v>
      </c>
      <c r="F386" s="2">
        <v>142364174</v>
      </c>
      <c r="G386" s="2">
        <f t="shared" si="10"/>
        <v>376985483</v>
      </c>
      <c r="H386">
        <f t="shared" si="11"/>
        <v>0.66953792932260925</v>
      </c>
    </row>
    <row r="387" spans="1:8">
      <c r="A387" t="s">
        <v>72</v>
      </c>
      <c r="B387" s="1" t="s">
        <v>11</v>
      </c>
      <c r="C387" t="s">
        <v>12</v>
      </c>
      <c r="D387" s="2">
        <v>138067878</v>
      </c>
      <c r="E387" s="2">
        <v>56289971</v>
      </c>
      <c r="F387" s="2">
        <v>52735592</v>
      </c>
      <c r="G387" s="2">
        <f t="shared" ref="G387:G450" si="12">E387+F387</f>
        <v>109025563</v>
      </c>
      <c r="H387">
        <f t="shared" ref="H387:H450" si="13">G387/D387</f>
        <v>0.7896519058545971</v>
      </c>
    </row>
    <row r="388" spans="1:8">
      <c r="A388" t="s">
        <v>72</v>
      </c>
      <c r="B388" s="1" t="s">
        <v>13</v>
      </c>
      <c r="C388" t="s">
        <v>14</v>
      </c>
      <c r="D388" s="2">
        <v>119675003</v>
      </c>
      <c r="E388" s="2">
        <v>33287229</v>
      </c>
      <c r="F388" s="2">
        <v>70968409</v>
      </c>
      <c r="G388" s="2">
        <f t="shared" si="12"/>
        <v>104255638</v>
      </c>
      <c r="H388">
        <f t="shared" si="13"/>
        <v>0.87115634331757652</v>
      </c>
    </row>
    <row r="389" spans="1:8">
      <c r="A389" t="s">
        <v>72</v>
      </c>
      <c r="B389" s="1" t="s">
        <v>15</v>
      </c>
      <c r="C389" t="s">
        <v>16</v>
      </c>
      <c r="D389" s="2">
        <v>254818590</v>
      </c>
      <c r="E389" s="2">
        <v>37118497</v>
      </c>
      <c r="F389" s="2">
        <v>59640458</v>
      </c>
      <c r="G389" s="2">
        <f t="shared" si="12"/>
        <v>96758955</v>
      </c>
      <c r="H389">
        <f t="shared" si="13"/>
        <v>0.37971701750645431</v>
      </c>
    </row>
    <row r="390" spans="1:8">
      <c r="A390" t="s">
        <v>72</v>
      </c>
      <c r="B390" s="1" t="s">
        <v>17</v>
      </c>
      <c r="C390" t="s">
        <v>18</v>
      </c>
      <c r="D390" s="2">
        <v>94392965</v>
      </c>
      <c r="E390" s="2">
        <v>39586213</v>
      </c>
      <c r="F390" s="2">
        <v>45888982</v>
      </c>
      <c r="G390" s="2">
        <f t="shared" si="12"/>
        <v>85475195</v>
      </c>
      <c r="H390">
        <f t="shared" si="13"/>
        <v>0.90552505687261753</v>
      </c>
    </row>
    <row r="391" spans="1:8">
      <c r="A391" t="s">
        <v>72</v>
      </c>
      <c r="B391" s="1" t="s">
        <v>19</v>
      </c>
      <c r="C391" t="s">
        <v>20</v>
      </c>
      <c r="D391" s="2">
        <v>103998379</v>
      </c>
      <c r="E391" s="2">
        <v>25322761</v>
      </c>
      <c r="F391" s="2">
        <v>53430783</v>
      </c>
      <c r="G391" s="2">
        <f t="shared" si="12"/>
        <v>78753544</v>
      </c>
      <c r="H391">
        <f t="shared" si="13"/>
        <v>0.75725741840649263</v>
      </c>
    </row>
    <row r="392" spans="1:8">
      <c r="A392" t="s">
        <v>72</v>
      </c>
      <c r="B392" s="1" t="s">
        <v>21</v>
      </c>
      <c r="C392" t="s">
        <v>22</v>
      </c>
      <c r="D392" s="2">
        <v>214147247</v>
      </c>
      <c r="E392" s="2">
        <v>43413274</v>
      </c>
      <c r="F392" s="2">
        <v>62562847</v>
      </c>
      <c r="G392" s="2">
        <f t="shared" si="12"/>
        <v>105976121</v>
      </c>
      <c r="H392">
        <f t="shared" si="13"/>
        <v>0.49487500999721001</v>
      </c>
    </row>
    <row r="393" spans="1:8">
      <c r="A393" t="s">
        <v>72</v>
      </c>
      <c r="B393" s="1" t="s">
        <v>23</v>
      </c>
      <c r="C393" t="s">
        <v>24</v>
      </c>
      <c r="D393" s="2">
        <v>338909717</v>
      </c>
      <c r="E393" s="2">
        <v>49167834</v>
      </c>
      <c r="F393" s="2">
        <v>61793541</v>
      </c>
      <c r="G393" s="2">
        <f t="shared" si="12"/>
        <v>110961375</v>
      </c>
      <c r="H393">
        <f t="shared" si="13"/>
        <v>0.32740688576952193</v>
      </c>
    </row>
    <row r="394" spans="1:8">
      <c r="A394" t="s">
        <v>72</v>
      </c>
      <c r="B394" s="1" t="s">
        <v>25</v>
      </c>
      <c r="C394" t="s">
        <v>26</v>
      </c>
      <c r="D394" s="2">
        <v>234609333</v>
      </c>
      <c r="E394" s="2">
        <v>37658862</v>
      </c>
      <c r="F394" s="2">
        <v>72084896</v>
      </c>
      <c r="G394" s="2">
        <f t="shared" si="12"/>
        <v>109743758</v>
      </c>
      <c r="H394">
        <f t="shared" si="13"/>
        <v>0.46777234561252512</v>
      </c>
    </row>
    <row r="395" spans="1:8">
      <c r="A395" t="s">
        <v>72</v>
      </c>
      <c r="B395">
        <v>10000</v>
      </c>
      <c r="C395" t="s">
        <v>27</v>
      </c>
      <c r="D395" s="2">
        <v>218381288</v>
      </c>
      <c r="E395" s="2">
        <v>39395677</v>
      </c>
      <c r="F395" s="2">
        <v>51590121</v>
      </c>
      <c r="G395" s="2">
        <f t="shared" si="12"/>
        <v>90985798</v>
      </c>
      <c r="H395">
        <f t="shared" si="13"/>
        <v>0.41663733570433015</v>
      </c>
    </row>
    <row r="396" spans="1:8">
      <c r="A396" t="s">
        <v>72</v>
      </c>
      <c r="B396">
        <v>11000</v>
      </c>
      <c r="C396" t="s">
        <v>28</v>
      </c>
      <c r="D396" s="2">
        <v>731247920</v>
      </c>
      <c r="E396" s="2">
        <v>44422503</v>
      </c>
      <c r="F396" s="2">
        <v>94736871</v>
      </c>
      <c r="G396" s="2">
        <f t="shared" si="12"/>
        <v>139159374</v>
      </c>
      <c r="H396">
        <f t="shared" si="13"/>
        <v>0.19030395874493564</v>
      </c>
    </row>
    <row r="397" spans="1:8">
      <c r="A397" t="s">
        <v>72</v>
      </c>
      <c r="B397">
        <v>12000</v>
      </c>
      <c r="C397" t="s">
        <v>29</v>
      </c>
      <c r="D397" s="2">
        <v>660232457</v>
      </c>
      <c r="E397" s="2">
        <v>51839204</v>
      </c>
      <c r="F397" s="2">
        <v>101265541</v>
      </c>
      <c r="G397" s="2">
        <f t="shared" si="12"/>
        <v>153104745</v>
      </c>
      <c r="H397">
        <f t="shared" si="13"/>
        <v>0.23189521111350028</v>
      </c>
    </row>
    <row r="398" spans="1:8">
      <c r="A398" t="s">
        <v>72</v>
      </c>
      <c r="B398">
        <v>13000</v>
      </c>
      <c r="C398" t="s">
        <v>30</v>
      </c>
      <c r="D398" s="2">
        <v>4256072132</v>
      </c>
      <c r="E398" s="2">
        <v>174553275</v>
      </c>
      <c r="F398" s="2">
        <v>185180315</v>
      </c>
      <c r="G398" s="2">
        <f t="shared" si="12"/>
        <v>359733590</v>
      </c>
      <c r="H398">
        <f t="shared" si="13"/>
        <v>8.4522437318503604E-2</v>
      </c>
    </row>
    <row r="399" spans="1:8">
      <c r="A399" t="s">
        <v>72</v>
      </c>
      <c r="B399">
        <v>14000</v>
      </c>
      <c r="C399" t="s">
        <v>31</v>
      </c>
      <c r="D399" s="2">
        <v>1044774018</v>
      </c>
      <c r="E399" s="2">
        <v>42578409</v>
      </c>
      <c r="F399" s="2">
        <v>110931692</v>
      </c>
      <c r="G399" s="2">
        <f t="shared" si="12"/>
        <v>153510101</v>
      </c>
      <c r="H399">
        <f t="shared" si="13"/>
        <v>0.14693139220083476</v>
      </c>
    </row>
    <row r="400" spans="1:8">
      <c r="A400" t="s">
        <v>72</v>
      </c>
      <c r="B400">
        <v>15000</v>
      </c>
      <c r="C400" t="s">
        <v>32</v>
      </c>
      <c r="D400" s="2">
        <v>247754950</v>
      </c>
      <c r="E400" s="2">
        <v>59058609</v>
      </c>
      <c r="F400" s="2">
        <v>99715384</v>
      </c>
      <c r="G400" s="2">
        <f t="shared" si="12"/>
        <v>158773993</v>
      </c>
      <c r="H400">
        <f t="shared" si="13"/>
        <v>0.64085094162598977</v>
      </c>
    </row>
    <row r="401" spans="1:8">
      <c r="A401" t="s">
        <v>72</v>
      </c>
      <c r="B401">
        <v>16000</v>
      </c>
      <c r="C401" t="s">
        <v>33</v>
      </c>
      <c r="D401" s="2">
        <v>120383024</v>
      </c>
      <c r="E401" s="2">
        <v>38275712</v>
      </c>
      <c r="F401" s="2">
        <v>36551524</v>
      </c>
      <c r="G401" s="2">
        <f t="shared" si="12"/>
        <v>74827236</v>
      </c>
      <c r="H401">
        <f t="shared" si="13"/>
        <v>0.62157631129119995</v>
      </c>
    </row>
    <row r="402" spans="1:8">
      <c r="A402" t="s">
        <v>72</v>
      </c>
      <c r="B402">
        <v>17000</v>
      </c>
      <c r="C402" t="s">
        <v>34</v>
      </c>
      <c r="D402" s="2">
        <v>130816786</v>
      </c>
      <c r="E402" s="2">
        <v>33722388</v>
      </c>
      <c r="F402" s="2">
        <v>45426889</v>
      </c>
      <c r="G402" s="2">
        <f t="shared" si="12"/>
        <v>79149277</v>
      </c>
      <c r="H402">
        <f t="shared" si="13"/>
        <v>0.60503914994517605</v>
      </c>
    </row>
    <row r="403" spans="1:8">
      <c r="A403" t="s">
        <v>72</v>
      </c>
      <c r="B403">
        <v>18000</v>
      </c>
      <c r="C403" t="s">
        <v>35</v>
      </c>
      <c r="D403" s="2">
        <v>98019444</v>
      </c>
      <c r="E403" s="2">
        <v>34705557</v>
      </c>
      <c r="F403" s="2">
        <v>39295985</v>
      </c>
      <c r="G403" s="2">
        <f t="shared" si="12"/>
        <v>74001542</v>
      </c>
      <c r="H403">
        <f t="shared" si="13"/>
        <v>0.75496798369923424</v>
      </c>
    </row>
    <row r="404" spans="1:8">
      <c r="A404" t="s">
        <v>72</v>
      </c>
      <c r="B404">
        <v>19000</v>
      </c>
      <c r="C404" t="s">
        <v>36</v>
      </c>
      <c r="D404" s="2">
        <v>92307925</v>
      </c>
      <c r="E404" s="2">
        <v>40357753</v>
      </c>
      <c r="F404" s="2">
        <v>37294485</v>
      </c>
      <c r="G404" s="2">
        <f t="shared" si="12"/>
        <v>77652238</v>
      </c>
      <c r="H404">
        <f t="shared" si="13"/>
        <v>0.84123045773155447</v>
      </c>
    </row>
    <row r="405" spans="1:8">
      <c r="A405" t="s">
        <v>72</v>
      </c>
      <c r="B405">
        <v>20000</v>
      </c>
      <c r="C405" t="s">
        <v>37</v>
      </c>
      <c r="D405" s="2">
        <v>222654817</v>
      </c>
      <c r="E405" s="2">
        <v>51951921</v>
      </c>
      <c r="F405" s="2">
        <v>67352505</v>
      </c>
      <c r="G405" s="2">
        <f t="shared" si="12"/>
        <v>119304426</v>
      </c>
      <c r="H405">
        <f t="shared" si="13"/>
        <v>0.53582683549127974</v>
      </c>
    </row>
    <row r="406" spans="1:8">
      <c r="A406" t="s">
        <v>72</v>
      </c>
      <c r="B406">
        <v>21000</v>
      </c>
      <c r="C406" t="s">
        <v>38</v>
      </c>
      <c r="D406" s="2">
        <v>221791598</v>
      </c>
      <c r="E406" s="2">
        <v>51237792</v>
      </c>
      <c r="F406" s="2">
        <v>48982889</v>
      </c>
      <c r="G406" s="2">
        <f t="shared" si="12"/>
        <v>100220681</v>
      </c>
      <c r="H406">
        <f t="shared" si="13"/>
        <v>0.45186869973316124</v>
      </c>
    </row>
    <row r="407" spans="1:8">
      <c r="A407" t="s">
        <v>72</v>
      </c>
      <c r="B407">
        <v>22000</v>
      </c>
      <c r="C407" t="s">
        <v>39</v>
      </c>
      <c r="D407" s="2">
        <v>447913546</v>
      </c>
      <c r="E407" s="2">
        <v>58944328</v>
      </c>
      <c r="F407" s="2">
        <v>76261764</v>
      </c>
      <c r="G407" s="2">
        <f t="shared" si="12"/>
        <v>135206092</v>
      </c>
      <c r="H407">
        <f t="shared" si="13"/>
        <v>0.30185756427201244</v>
      </c>
    </row>
    <row r="408" spans="1:8">
      <c r="A408" t="s">
        <v>72</v>
      </c>
      <c r="B408">
        <v>23000</v>
      </c>
      <c r="C408" t="s">
        <v>40</v>
      </c>
      <c r="D408" s="2">
        <v>964454311</v>
      </c>
      <c r="E408" s="2">
        <v>74289853</v>
      </c>
      <c r="F408" s="2">
        <v>111239495</v>
      </c>
      <c r="G408" s="2">
        <f t="shared" si="12"/>
        <v>185529348</v>
      </c>
      <c r="H408">
        <f t="shared" si="13"/>
        <v>0.19236717165754885</v>
      </c>
    </row>
    <row r="409" spans="1:8">
      <c r="A409" t="s">
        <v>72</v>
      </c>
      <c r="B409">
        <v>24000</v>
      </c>
      <c r="C409" t="s">
        <v>41</v>
      </c>
      <c r="D409" s="2">
        <v>207525034</v>
      </c>
      <c r="E409" s="2">
        <v>42438742</v>
      </c>
      <c r="F409" s="2">
        <v>48575414</v>
      </c>
      <c r="G409" s="2">
        <f t="shared" si="12"/>
        <v>91014156</v>
      </c>
      <c r="H409">
        <f t="shared" si="13"/>
        <v>0.4385695269901751</v>
      </c>
    </row>
    <row r="410" spans="1:8">
      <c r="A410" t="s">
        <v>72</v>
      </c>
      <c r="B410">
        <v>25000</v>
      </c>
      <c r="C410" t="s">
        <v>42</v>
      </c>
      <c r="D410" s="2">
        <v>148508986</v>
      </c>
      <c r="E410" s="2">
        <v>28853904</v>
      </c>
      <c r="F410" s="2">
        <v>36484419</v>
      </c>
      <c r="G410" s="2">
        <f t="shared" si="12"/>
        <v>65338323</v>
      </c>
      <c r="H410">
        <f t="shared" si="13"/>
        <v>0.43996208417987581</v>
      </c>
    </row>
    <row r="411" spans="1:8">
      <c r="A411" t="s">
        <v>72</v>
      </c>
      <c r="B411">
        <v>26000</v>
      </c>
      <c r="C411" t="s">
        <v>43</v>
      </c>
      <c r="D411" s="2">
        <v>295660473</v>
      </c>
      <c r="E411" s="2">
        <v>31903005</v>
      </c>
      <c r="F411" s="2">
        <v>65600792</v>
      </c>
      <c r="G411" s="2">
        <f t="shared" si="12"/>
        <v>97503797</v>
      </c>
      <c r="H411">
        <f t="shared" si="13"/>
        <v>0.32978299740459388</v>
      </c>
    </row>
    <row r="412" spans="1:8">
      <c r="A412" t="s">
        <v>72</v>
      </c>
      <c r="B412">
        <v>27000</v>
      </c>
      <c r="C412" t="s">
        <v>44</v>
      </c>
      <c r="D412" s="2">
        <v>1027000367</v>
      </c>
      <c r="E412" s="2">
        <v>62448627</v>
      </c>
      <c r="F412" s="2">
        <v>180536602</v>
      </c>
      <c r="G412" s="2">
        <f t="shared" si="12"/>
        <v>242985229</v>
      </c>
      <c r="H412">
        <f t="shared" si="13"/>
        <v>0.23659702255977869</v>
      </c>
    </row>
    <row r="413" spans="1:8">
      <c r="A413" t="s">
        <v>72</v>
      </c>
      <c r="B413">
        <v>28000</v>
      </c>
      <c r="C413" t="s">
        <v>45</v>
      </c>
      <c r="D413" s="2">
        <v>595590371</v>
      </c>
      <c r="E413" s="2">
        <v>82157473</v>
      </c>
      <c r="F413" s="2">
        <v>107907456</v>
      </c>
      <c r="G413" s="2">
        <f t="shared" si="12"/>
        <v>190064929</v>
      </c>
      <c r="H413">
        <f t="shared" si="13"/>
        <v>0.31912021794590095</v>
      </c>
    </row>
    <row r="414" spans="1:8">
      <c r="A414" t="s">
        <v>72</v>
      </c>
      <c r="B414">
        <v>29000</v>
      </c>
      <c r="C414" t="s">
        <v>46</v>
      </c>
      <c r="D414" s="2">
        <v>124246469</v>
      </c>
      <c r="E414" s="2">
        <v>29639505</v>
      </c>
      <c r="F414" s="2">
        <v>39052235</v>
      </c>
      <c r="G414" s="2">
        <f t="shared" si="12"/>
        <v>68691740</v>
      </c>
      <c r="H414">
        <f t="shared" si="13"/>
        <v>0.55286673780644824</v>
      </c>
    </row>
    <row r="415" spans="1:8">
      <c r="A415" t="s">
        <v>72</v>
      </c>
      <c r="B415">
        <v>30000</v>
      </c>
      <c r="C415" t="s">
        <v>47</v>
      </c>
      <c r="D415" s="2">
        <v>91273690</v>
      </c>
      <c r="E415" s="2">
        <v>40922108</v>
      </c>
      <c r="F415" s="2">
        <v>39289712</v>
      </c>
      <c r="G415" s="2">
        <f t="shared" si="12"/>
        <v>80211820</v>
      </c>
      <c r="H415">
        <f t="shared" si="13"/>
        <v>0.87880549148390952</v>
      </c>
    </row>
    <row r="416" spans="1:8">
      <c r="A416" t="s">
        <v>72</v>
      </c>
      <c r="B416">
        <v>31000</v>
      </c>
      <c r="C416" t="s">
        <v>48</v>
      </c>
      <c r="D416" s="2">
        <v>53717503</v>
      </c>
      <c r="E416" s="2">
        <v>22039300</v>
      </c>
      <c r="F416" s="2">
        <v>44788542</v>
      </c>
      <c r="G416" s="2">
        <f t="shared" si="12"/>
        <v>66827842</v>
      </c>
      <c r="H416">
        <f t="shared" si="13"/>
        <v>1.2440608417706982</v>
      </c>
    </row>
    <row r="417" spans="1:8">
      <c r="A417" t="s">
        <v>72</v>
      </c>
      <c r="B417">
        <v>32000</v>
      </c>
      <c r="C417" t="s">
        <v>49</v>
      </c>
      <c r="D417" s="2">
        <v>66665935</v>
      </c>
      <c r="E417" s="2">
        <v>45625497</v>
      </c>
      <c r="F417" s="2">
        <v>54524098</v>
      </c>
      <c r="G417" s="2">
        <f t="shared" si="12"/>
        <v>100149595</v>
      </c>
      <c r="H417">
        <f t="shared" si="13"/>
        <v>1.502260412308025</v>
      </c>
    </row>
    <row r="418" spans="1:8">
      <c r="A418" t="s">
        <v>72</v>
      </c>
      <c r="B418">
        <v>33000</v>
      </c>
      <c r="C418" t="s">
        <v>50</v>
      </c>
      <c r="D418" s="2">
        <v>201244107</v>
      </c>
      <c r="E418" s="2">
        <v>20701060</v>
      </c>
      <c r="F418" s="2">
        <v>73076430</v>
      </c>
      <c r="G418" s="2">
        <f t="shared" si="12"/>
        <v>93777490</v>
      </c>
      <c r="H418">
        <f t="shared" si="13"/>
        <v>0.46598875066687045</v>
      </c>
    </row>
    <row r="419" spans="1:8">
      <c r="A419" t="s">
        <v>72</v>
      </c>
      <c r="B419">
        <v>34000</v>
      </c>
      <c r="C419" t="s">
        <v>51</v>
      </c>
      <c r="D419" s="2">
        <v>315898571</v>
      </c>
      <c r="E419" s="2">
        <v>44627989</v>
      </c>
      <c r="F419" s="2">
        <v>81746341</v>
      </c>
      <c r="G419" s="2">
        <f t="shared" si="12"/>
        <v>126374330</v>
      </c>
      <c r="H419">
        <f t="shared" si="13"/>
        <v>0.40004717210322549</v>
      </c>
    </row>
    <row r="420" spans="1:8">
      <c r="A420" t="s">
        <v>72</v>
      </c>
      <c r="B420">
        <v>35000</v>
      </c>
      <c r="C420" t="s">
        <v>52</v>
      </c>
      <c r="D420" s="2">
        <v>148092378</v>
      </c>
      <c r="E420" s="2">
        <v>50267402</v>
      </c>
      <c r="F420" s="2">
        <v>53160401</v>
      </c>
      <c r="G420" s="2">
        <f t="shared" si="12"/>
        <v>103427803</v>
      </c>
      <c r="H420">
        <f t="shared" si="13"/>
        <v>0.69840058210153122</v>
      </c>
    </row>
    <row r="421" spans="1:8">
      <c r="A421" t="s">
        <v>72</v>
      </c>
      <c r="B421">
        <v>36000</v>
      </c>
      <c r="C421" t="s">
        <v>53</v>
      </c>
      <c r="D421" s="2">
        <v>76517624</v>
      </c>
      <c r="E421" s="2">
        <v>29205660</v>
      </c>
      <c r="F421" s="2">
        <v>43746971</v>
      </c>
      <c r="G421" s="2">
        <f t="shared" si="12"/>
        <v>72952631</v>
      </c>
      <c r="H421">
        <f t="shared" si="13"/>
        <v>0.95340951778638605</v>
      </c>
    </row>
    <row r="422" spans="1:8">
      <c r="A422" t="s">
        <v>72</v>
      </c>
      <c r="B422">
        <v>37000</v>
      </c>
      <c r="C422" t="s">
        <v>54</v>
      </c>
      <c r="D422" s="2">
        <v>111472637</v>
      </c>
      <c r="E422" s="2">
        <v>19150382</v>
      </c>
      <c r="F422" s="2">
        <v>33203093</v>
      </c>
      <c r="G422" s="2">
        <f t="shared" si="12"/>
        <v>52353475</v>
      </c>
      <c r="H422">
        <f t="shared" si="13"/>
        <v>0.46965314905038086</v>
      </c>
    </row>
    <row r="423" spans="1:8">
      <c r="A423" t="s">
        <v>72</v>
      </c>
      <c r="B423">
        <v>38000</v>
      </c>
      <c r="C423" t="s">
        <v>55</v>
      </c>
      <c r="D423" s="2">
        <v>136059449</v>
      </c>
      <c r="E423" s="2">
        <v>23449169</v>
      </c>
      <c r="F423" s="2">
        <v>60157114</v>
      </c>
      <c r="G423" s="2">
        <f t="shared" si="12"/>
        <v>83606283</v>
      </c>
      <c r="H423">
        <f t="shared" si="13"/>
        <v>0.6144834747934339</v>
      </c>
    </row>
    <row r="424" spans="1:8">
      <c r="A424" t="s">
        <v>72</v>
      </c>
      <c r="B424">
        <v>39000</v>
      </c>
      <c r="C424" t="s">
        <v>56</v>
      </c>
      <c r="D424" s="2">
        <v>64090734</v>
      </c>
      <c r="E424" s="2">
        <v>34017149</v>
      </c>
      <c r="F424" s="2">
        <v>55469755</v>
      </c>
      <c r="G424" s="2">
        <f t="shared" si="12"/>
        <v>89486904</v>
      </c>
      <c r="H424">
        <f t="shared" si="13"/>
        <v>1.3962533804028521</v>
      </c>
    </row>
    <row r="425" spans="1:8">
      <c r="A425" t="s">
        <v>72</v>
      </c>
      <c r="B425">
        <v>40000</v>
      </c>
      <c r="C425" t="s">
        <v>57</v>
      </c>
      <c r="D425" s="2">
        <v>515498397</v>
      </c>
      <c r="E425" s="2">
        <v>79725738</v>
      </c>
      <c r="F425" s="2">
        <v>108547591</v>
      </c>
      <c r="G425" s="2">
        <f t="shared" si="12"/>
        <v>188273329</v>
      </c>
      <c r="H425">
        <f t="shared" si="13"/>
        <v>0.3652258282386085</v>
      </c>
    </row>
    <row r="426" spans="1:8">
      <c r="A426" t="s">
        <v>72</v>
      </c>
      <c r="B426">
        <v>41000</v>
      </c>
      <c r="C426" t="s">
        <v>58</v>
      </c>
      <c r="D426" s="2">
        <v>85025315</v>
      </c>
      <c r="E426" s="2">
        <v>38105239</v>
      </c>
      <c r="F426" s="2">
        <v>38280204</v>
      </c>
      <c r="G426" s="2">
        <f t="shared" si="12"/>
        <v>76385443</v>
      </c>
      <c r="H426">
        <f t="shared" si="13"/>
        <v>0.89838471048298973</v>
      </c>
    </row>
    <row r="427" spans="1:8">
      <c r="A427" t="s">
        <v>72</v>
      </c>
      <c r="B427">
        <v>42000</v>
      </c>
      <c r="C427" t="s">
        <v>59</v>
      </c>
      <c r="D427" s="2">
        <v>117252115</v>
      </c>
      <c r="E427" s="2">
        <v>69271630</v>
      </c>
      <c r="F427" s="2">
        <v>56746235</v>
      </c>
      <c r="G427" s="2">
        <f t="shared" si="12"/>
        <v>126017865</v>
      </c>
      <c r="H427">
        <f t="shared" si="13"/>
        <v>1.0747598454833842</v>
      </c>
    </row>
    <row r="428" spans="1:8">
      <c r="A428" t="s">
        <v>72</v>
      </c>
      <c r="B428">
        <v>43000</v>
      </c>
      <c r="C428" t="s">
        <v>60</v>
      </c>
      <c r="D428" s="2">
        <v>156385424</v>
      </c>
      <c r="E428" s="2">
        <v>66069086</v>
      </c>
      <c r="F428" s="2">
        <v>73956171</v>
      </c>
      <c r="G428" s="2">
        <f t="shared" si="12"/>
        <v>140025257</v>
      </c>
      <c r="H428">
        <f t="shared" si="13"/>
        <v>0.89538560192157035</v>
      </c>
    </row>
    <row r="429" spans="1:8">
      <c r="A429" t="s">
        <v>72</v>
      </c>
      <c r="B429">
        <v>44000</v>
      </c>
      <c r="C429" t="s">
        <v>61</v>
      </c>
      <c r="D429" s="2">
        <v>109328720</v>
      </c>
      <c r="E429" s="2">
        <v>40010670</v>
      </c>
      <c r="F429" s="2">
        <v>66032010</v>
      </c>
      <c r="G429" s="2">
        <f t="shared" si="12"/>
        <v>106042680</v>
      </c>
      <c r="H429">
        <f t="shared" si="13"/>
        <v>0.96994348785936579</v>
      </c>
    </row>
    <row r="430" spans="1:8">
      <c r="A430" t="s">
        <v>72</v>
      </c>
      <c r="B430">
        <v>45000</v>
      </c>
      <c r="C430" t="s">
        <v>62</v>
      </c>
      <c r="D430" s="2">
        <v>99442551</v>
      </c>
      <c r="E430" s="2">
        <v>39532896</v>
      </c>
      <c r="F430" s="2">
        <v>50076783</v>
      </c>
      <c r="G430" s="2">
        <f t="shared" si="12"/>
        <v>89609679</v>
      </c>
      <c r="H430">
        <f t="shared" si="13"/>
        <v>0.90112007484602841</v>
      </c>
    </row>
    <row r="431" spans="1:8">
      <c r="A431" t="s">
        <v>72</v>
      </c>
      <c r="B431">
        <v>46000</v>
      </c>
      <c r="C431" t="s">
        <v>63</v>
      </c>
      <c r="D431" s="2">
        <v>139822134</v>
      </c>
      <c r="E431" s="2">
        <v>87557151</v>
      </c>
      <c r="F431" s="2">
        <v>77553880</v>
      </c>
      <c r="G431" s="2">
        <f t="shared" si="12"/>
        <v>165111031</v>
      </c>
      <c r="H431">
        <f t="shared" si="13"/>
        <v>1.1808647620840917</v>
      </c>
    </row>
    <row r="432" spans="1:8">
      <c r="A432" t="s">
        <v>72</v>
      </c>
      <c r="B432">
        <v>47000</v>
      </c>
      <c r="C432" t="s">
        <v>64</v>
      </c>
      <c r="D432" s="2">
        <v>104045839</v>
      </c>
      <c r="E432" s="2">
        <v>106882134</v>
      </c>
      <c r="F432" s="2">
        <v>45256669</v>
      </c>
      <c r="G432" s="2">
        <f t="shared" si="12"/>
        <v>152138803</v>
      </c>
      <c r="H432">
        <f t="shared" si="13"/>
        <v>1.4622286144475225</v>
      </c>
    </row>
    <row r="433" spans="1:8">
      <c r="A433" t="s">
        <v>73</v>
      </c>
      <c r="B433" s="1" t="s">
        <v>7</v>
      </c>
      <c r="C433" t="s">
        <v>8</v>
      </c>
      <c r="D433" s="2">
        <v>20012064856</v>
      </c>
      <c r="E433" s="2">
        <v>1772308195</v>
      </c>
      <c r="F433" s="2">
        <v>1241733914</v>
      </c>
      <c r="G433" s="2">
        <f t="shared" si="12"/>
        <v>3014042109</v>
      </c>
      <c r="H433">
        <f t="shared" si="13"/>
        <v>0.15061125029765893</v>
      </c>
    </row>
    <row r="434" spans="1:8">
      <c r="A434" t="s">
        <v>73</v>
      </c>
      <c r="B434" s="1" t="s">
        <v>9</v>
      </c>
      <c r="C434" t="s">
        <v>10</v>
      </c>
      <c r="D434" s="2">
        <v>621053027</v>
      </c>
      <c r="E434" s="2">
        <v>146609250</v>
      </c>
      <c r="F434" s="2">
        <v>66865539</v>
      </c>
      <c r="G434" s="2">
        <f t="shared" si="12"/>
        <v>213474789</v>
      </c>
      <c r="H434">
        <f t="shared" si="13"/>
        <v>0.34373037360624603</v>
      </c>
    </row>
    <row r="435" spans="1:8">
      <c r="A435" t="s">
        <v>73</v>
      </c>
      <c r="B435" s="1" t="s">
        <v>11</v>
      </c>
      <c r="C435" t="s">
        <v>12</v>
      </c>
      <c r="D435" s="2">
        <v>151973331</v>
      </c>
      <c r="E435" s="2">
        <v>36991701</v>
      </c>
      <c r="F435" s="2">
        <v>24817248</v>
      </c>
      <c r="G435" s="2">
        <f t="shared" si="12"/>
        <v>61808949</v>
      </c>
      <c r="H435">
        <f t="shared" si="13"/>
        <v>0.40670918109967596</v>
      </c>
    </row>
    <row r="436" spans="1:8">
      <c r="A436" t="s">
        <v>73</v>
      </c>
      <c r="B436" s="1" t="s">
        <v>13</v>
      </c>
      <c r="C436" t="s">
        <v>14</v>
      </c>
      <c r="D436" s="2">
        <v>137530861</v>
      </c>
      <c r="E436" s="2">
        <v>32098202</v>
      </c>
      <c r="F436" s="2">
        <v>23980188</v>
      </c>
      <c r="G436" s="2">
        <f t="shared" si="12"/>
        <v>56078390</v>
      </c>
      <c r="H436">
        <f t="shared" si="13"/>
        <v>0.40775131917482871</v>
      </c>
    </row>
    <row r="437" spans="1:8">
      <c r="A437" t="s">
        <v>73</v>
      </c>
      <c r="B437" s="1" t="s">
        <v>15</v>
      </c>
      <c r="C437" t="s">
        <v>16</v>
      </c>
      <c r="D437" s="2">
        <v>291654731</v>
      </c>
      <c r="E437" s="2">
        <v>28825227</v>
      </c>
      <c r="F437" s="2">
        <v>24644010</v>
      </c>
      <c r="G437" s="2">
        <f t="shared" si="12"/>
        <v>53469237</v>
      </c>
      <c r="H437">
        <f t="shared" si="13"/>
        <v>0.18333060059293191</v>
      </c>
    </row>
    <row r="438" spans="1:8">
      <c r="A438" t="s">
        <v>73</v>
      </c>
      <c r="B438" s="1" t="s">
        <v>17</v>
      </c>
      <c r="C438" t="s">
        <v>18</v>
      </c>
      <c r="D438" s="2">
        <v>108215696</v>
      </c>
      <c r="E438" s="2">
        <v>32168850</v>
      </c>
      <c r="F438" s="2">
        <v>27091429</v>
      </c>
      <c r="G438" s="2">
        <f t="shared" si="12"/>
        <v>59260279</v>
      </c>
      <c r="H438">
        <f t="shared" si="13"/>
        <v>0.54761260325858829</v>
      </c>
    </row>
    <row r="439" spans="1:8">
      <c r="A439" t="s">
        <v>73</v>
      </c>
      <c r="B439" s="1" t="s">
        <v>19</v>
      </c>
      <c r="C439" t="s">
        <v>20</v>
      </c>
      <c r="D439" s="2">
        <v>122923650</v>
      </c>
      <c r="E439" s="2">
        <v>14196925</v>
      </c>
      <c r="F439" s="2">
        <v>19213529</v>
      </c>
      <c r="G439" s="2">
        <f t="shared" si="12"/>
        <v>33410454</v>
      </c>
      <c r="H439">
        <f t="shared" si="13"/>
        <v>0.2717984212151201</v>
      </c>
    </row>
    <row r="440" spans="1:8">
      <c r="A440" t="s">
        <v>73</v>
      </c>
      <c r="B440" s="1" t="s">
        <v>21</v>
      </c>
      <c r="C440" t="s">
        <v>22</v>
      </c>
      <c r="D440" s="2">
        <v>251690914</v>
      </c>
      <c r="E440" s="2">
        <v>30685364</v>
      </c>
      <c r="F440" s="2">
        <v>25740318</v>
      </c>
      <c r="G440" s="2">
        <f t="shared" si="12"/>
        <v>56425682</v>
      </c>
      <c r="H440">
        <f t="shared" si="13"/>
        <v>0.22418640825468972</v>
      </c>
    </row>
    <row r="441" spans="1:8">
      <c r="A441" t="s">
        <v>73</v>
      </c>
      <c r="B441" s="1" t="s">
        <v>23</v>
      </c>
      <c r="C441" t="s">
        <v>24</v>
      </c>
      <c r="D441" s="2">
        <v>412215510</v>
      </c>
      <c r="E441" s="2">
        <v>29864927</v>
      </c>
      <c r="F441" s="2">
        <v>22050690</v>
      </c>
      <c r="G441" s="2">
        <f t="shared" si="12"/>
        <v>51915617</v>
      </c>
      <c r="H441">
        <f t="shared" si="13"/>
        <v>0.12594290059585581</v>
      </c>
    </row>
    <row r="442" spans="1:8">
      <c r="A442" t="s">
        <v>73</v>
      </c>
      <c r="B442" s="1" t="s">
        <v>25</v>
      </c>
      <c r="C442" t="s">
        <v>26</v>
      </c>
      <c r="D442" s="2">
        <v>288529432</v>
      </c>
      <c r="E442" s="2">
        <v>24666194</v>
      </c>
      <c r="F442" s="2">
        <v>20270040</v>
      </c>
      <c r="G442" s="2">
        <f t="shared" si="12"/>
        <v>44936234</v>
      </c>
      <c r="H442">
        <f t="shared" si="13"/>
        <v>0.1557422883638436</v>
      </c>
    </row>
    <row r="443" spans="1:8">
      <c r="A443" t="s">
        <v>73</v>
      </c>
      <c r="B443">
        <v>10000</v>
      </c>
      <c r="C443" t="s">
        <v>27</v>
      </c>
      <c r="D443" s="2">
        <v>260611685</v>
      </c>
      <c r="E443" s="2">
        <v>20706835</v>
      </c>
      <c r="F443" s="2">
        <v>18195425</v>
      </c>
      <c r="G443" s="2">
        <f t="shared" si="12"/>
        <v>38902260</v>
      </c>
      <c r="H443">
        <f t="shared" si="13"/>
        <v>0.14927289234939714</v>
      </c>
    </row>
    <row r="444" spans="1:8">
      <c r="A444" t="s">
        <v>73</v>
      </c>
      <c r="B444">
        <v>11000</v>
      </c>
      <c r="C444" t="s">
        <v>28</v>
      </c>
      <c r="D444" s="2">
        <v>836115131</v>
      </c>
      <c r="E444" s="2">
        <v>24450979</v>
      </c>
      <c r="F444" s="2">
        <v>35612128</v>
      </c>
      <c r="G444" s="2">
        <f t="shared" si="12"/>
        <v>60063107</v>
      </c>
      <c r="H444">
        <f t="shared" si="13"/>
        <v>7.183592877713392E-2</v>
      </c>
    </row>
    <row r="445" spans="1:8">
      <c r="A445" t="s">
        <v>73</v>
      </c>
      <c r="B445">
        <v>12000</v>
      </c>
      <c r="C445" t="s">
        <v>29</v>
      </c>
      <c r="D445" s="2">
        <v>759397135</v>
      </c>
      <c r="E445" s="2">
        <v>36056542</v>
      </c>
      <c r="F445" s="2">
        <v>45792947</v>
      </c>
      <c r="G445" s="2">
        <f t="shared" si="12"/>
        <v>81849489</v>
      </c>
      <c r="H445">
        <f t="shared" si="13"/>
        <v>0.10778219356858648</v>
      </c>
    </row>
    <row r="446" spans="1:8">
      <c r="A446" t="s">
        <v>73</v>
      </c>
      <c r="B446">
        <v>13000</v>
      </c>
      <c r="C446" t="s">
        <v>30</v>
      </c>
      <c r="D446" s="2">
        <v>5293276749</v>
      </c>
      <c r="E446" s="2">
        <v>100685120</v>
      </c>
      <c r="F446" s="2">
        <v>74837197</v>
      </c>
      <c r="G446" s="2">
        <f t="shared" si="12"/>
        <v>175522317</v>
      </c>
      <c r="H446">
        <f t="shared" si="13"/>
        <v>3.3159482362821756E-2</v>
      </c>
    </row>
    <row r="447" spans="1:8">
      <c r="A447" t="s">
        <v>73</v>
      </c>
      <c r="B447">
        <v>14000</v>
      </c>
      <c r="C447" t="s">
        <v>31</v>
      </c>
      <c r="D447" s="2">
        <v>1252413116</v>
      </c>
      <c r="E447" s="2">
        <v>27594177</v>
      </c>
      <c r="F447" s="2">
        <v>46578436</v>
      </c>
      <c r="G447" s="2">
        <f t="shared" si="12"/>
        <v>74172613</v>
      </c>
      <c r="H447">
        <f t="shared" si="13"/>
        <v>5.9223759358968578E-2</v>
      </c>
    </row>
    <row r="448" spans="1:8">
      <c r="A448" t="s">
        <v>73</v>
      </c>
      <c r="B448">
        <v>15000</v>
      </c>
      <c r="C448" t="s">
        <v>32</v>
      </c>
      <c r="D448" s="2">
        <v>286607296</v>
      </c>
      <c r="E448" s="2">
        <v>69846701</v>
      </c>
      <c r="F448" s="2">
        <v>28962693</v>
      </c>
      <c r="G448" s="2">
        <f t="shared" si="12"/>
        <v>98809394</v>
      </c>
      <c r="H448">
        <f t="shared" si="13"/>
        <v>0.34475533379303785</v>
      </c>
    </row>
    <row r="449" spans="1:8">
      <c r="A449" t="s">
        <v>73</v>
      </c>
      <c r="B449">
        <v>16000</v>
      </c>
      <c r="C449" t="s">
        <v>33</v>
      </c>
      <c r="D449" s="2">
        <v>143378370</v>
      </c>
      <c r="E449" s="2">
        <v>21171495</v>
      </c>
      <c r="F449" s="2">
        <v>14841315</v>
      </c>
      <c r="G449" s="2">
        <f t="shared" si="12"/>
        <v>36012810</v>
      </c>
      <c r="H449">
        <f t="shared" si="13"/>
        <v>0.25117324182162204</v>
      </c>
    </row>
    <row r="450" spans="1:8">
      <c r="A450" t="s">
        <v>73</v>
      </c>
      <c r="B450">
        <v>17000</v>
      </c>
      <c r="C450" t="s">
        <v>34</v>
      </c>
      <c r="D450" s="2">
        <v>157055877</v>
      </c>
      <c r="E450" s="2">
        <v>21332429</v>
      </c>
      <c r="F450" s="2">
        <v>17059336</v>
      </c>
      <c r="G450" s="2">
        <f t="shared" si="12"/>
        <v>38391765</v>
      </c>
      <c r="H450">
        <f t="shared" si="13"/>
        <v>0.24444653542000214</v>
      </c>
    </row>
    <row r="451" spans="1:8">
      <c r="A451" t="s">
        <v>73</v>
      </c>
      <c r="B451">
        <v>18000</v>
      </c>
      <c r="C451" t="s">
        <v>35</v>
      </c>
      <c r="D451" s="2">
        <v>118447446</v>
      </c>
      <c r="E451" s="2">
        <v>30202604</v>
      </c>
      <c r="F451" s="2">
        <v>15241238</v>
      </c>
      <c r="G451" s="2">
        <f t="shared" ref="G451:G514" si="14">E451+F451</f>
        <v>45443842</v>
      </c>
      <c r="H451">
        <f t="shared" ref="H451:H514" si="15">G451/D451</f>
        <v>0.38366248943856501</v>
      </c>
    </row>
    <row r="452" spans="1:8">
      <c r="A452" t="s">
        <v>73</v>
      </c>
      <c r="B452">
        <v>19000</v>
      </c>
      <c r="C452" t="s">
        <v>36</v>
      </c>
      <c r="D452" s="2">
        <v>120476223</v>
      </c>
      <c r="E452" s="2">
        <v>32613334</v>
      </c>
      <c r="F452" s="2">
        <v>14205324</v>
      </c>
      <c r="G452" s="2">
        <f t="shared" si="14"/>
        <v>46818658</v>
      </c>
      <c r="H452">
        <f t="shared" si="15"/>
        <v>0.38861326188819845</v>
      </c>
    </row>
    <row r="453" spans="1:8">
      <c r="A453" t="s">
        <v>73</v>
      </c>
      <c r="B453">
        <v>20000</v>
      </c>
      <c r="C453" t="s">
        <v>37</v>
      </c>
      <c r="D453" s="2">
        <v>262960515</v>
      </c>
      <c r="E453" s="2">
        <v>36745290</v>
      </c>
      <c r="F453" s="2">
        <v>24279588</v>
      </c>
      <c r="G453" s="2">
        <f t="shared" si="14"/>
        <v>61024878</v>
      </c>
      <c r="H453">
        <f t="shared" si="15"/>
        <v>0.2320685978273202</v>
      </c>
    </row>
    <row r="454" spans="1:8">
      <c r="A454" t="s">
        <v>73</v>
      </c>
      <c r="B454">
        <v>21000</v>
      </c>
      <c r="C454" t="s">
        <v>38</v>
      </c>
      <c r="D454" s="2">
        <v>263784941</v>
      </c>
      <c r="E454" s="2">
        <v>29753674</v>
      </c>
      <c r="F454" s="2">
        <v>19820592</v>
      </c>
      <c r="G454" s="2">
        <f t="shared" si="14"/>
        <v>49574266</v>
      </c>
      <c r="H454">
        <f t="shared" si="15"/>
        <v>0.1879344052471896</v>
      </c>
    </row>
    <row r="455" spans="1:8">
      <c r="A455" t="s">
        <v>73</v>
      </c>
      <c r="B455">
        <v>22000</v>
      </c>
      <c r="C455" t="s">
        <v>39</v>
      </c>
      <c r="D455" s="2">
        <v>569773169</v>
      </c>
      <c r="E455" s="2">
        <v>42990263</v>
      </c>
      <c r="F455" s="2">
        <v>20674540</v>
      </c>
      <c r="G455" s="2">
        <f t="shared" si="14"/>
        <v>63664803</v>
      </c>
      <c r="H455">
        <f t="shared" si="15"/>
        <v>0.11173710252403971</v>
      </c>
    </row>
    <row r="456" spans="1:8">
      <c r="A456" t="s">
        <v>73</v>
      </c>
      <c r="B456">
        <v>23000</v>
      </c>
      <c r="C456" t="s">
        <v>40</v>
      </c>
      <c r="D456" s="2">
        <v>1341867717</v>
      </c>
      <c r="E456" s="2">
        <v>56904559</v>
      </c>
      <c r="F456" s="2">
        <v>41863734</v>
      </c>
      <c r="G456" s="2">
        <f t="shared" si="14"/>
        <v>98768293</v>
      </c>
      <c r="H456">
        <f t="shared" si="15"/>
        <v>7.3605089196731907E-2</v>
      </c>
    </row>
    <row r="457" spans="1:8">
      <c r="A457" t="s">
        <v>73</v>
      </c>
      <c r="B457">
        <v>24000</v>
      </c>
      <c r="C457" t="s">
        <v>41</v>
      </c>
      <c r="D457" s="2">
        <v>266969609</v>
      </c>
      <c r="E457" s="2">
        <v>26786687</v>
      </c>
      <c r="F457" s="2">
        <v>16427152</v>
      </c>
      <c r="G457" s="2">
        <f t="shared" si="14"/>
        <v>43213839</v>
      </c>
      <c r="H457">
        <f t="shared" si="15"/>
        <v>0.1618680087290385</v>
      </c>
    </row>
    <row r="458" spans="1:8">
      <c r="A458" t="s">
        <v>73</v>
      </c>
      <c r="B458">
        <v>25000</v>
      </c>
      <c r="C458" t="s">
        <v>42</v>
      </c>
      <c r="D458" s="2">
        <v>193029682</v>
      </c>
      <c r="E458" s="2">
        <v>15309622</v>
      </c>
      <c r="F458" s="2">
        <v>18987677</v>
      </c>
      <c r="G458" s="2">
        <f t="shared" si="14"/>
        <v>34297299</v>
      </c>
      <c r="H458">
        <f t="shared" si="15"/>
        <v>0.17767888671131934</v>
      </c>
    </row>
    <row r="459" spans="1:8">
      <c r="A459" t="s">
        <v>73</v>
      </c>
      <c r="B459">
        <v>26000</v>
      </c>
      <c r="C459" t="s">
        <v>43</v>
      </c>
      <c r="D459" s="2">
        <v>351766321</v>
      </c>
      <c r="E459" s="2">
        <v>20138702</v>
      </c>
      <c r="F459" s="2">
        <v>20305151</v>
      </c>
      <c r="G459" s="2">
        <f t="shared" si="14"/>
        <v>40443853</v>
      </c>
      <c r="H459">
        <f t="shared" si="15"/>
        <v>0.11497363614864085</v>
      </c>
    </row>
    <row r="460" spans="1:8">
      <c r="A460" t="s">
        <v>73</v>
      </c>
      <c r="B460">
        <v>27000</v>
      </c>
      <c r="C460" t="s">
        <v>44</v>
      </c>
      <c r="D460" s="2">
        <v>1281341914</v>
      </c>
      <c r="E460" s="2">
        <v>42556743</v>
      </c>
      <c r="F460" s="2">
        <v>58228805</v>
      </c>
      <c r="G460" s="2">
        <f t="shared" si="14"/>
        <v>100785548</v>
      </c>
      <c r="H460">
        <f t="shared" si="15"/>
        <v>7.8656248499180834E-2</v>
      </c>
    </row>
    <row r="461" spans="1:8">
      <c r="A461" t="s">
        <v>73</v>
      </c>
      <c r="B461">
        <v>28000</v>
      </c>
      <c r="C461" t="s">
        <v>45</v>
      </c>
      <c r="D461" s="2">
        <v>699866976</v>
      </c>
      <c r="E461" s="2">
        <v>61381595</v>
      </c>
      <c r="F461" s="2">
        <v>37036003</v>
      </c>
      <c r="G461" s="2">
        <f t="shared" si="14"/>
        <v>98417598</v>
      </c>
      <c r="H461">
        <f t="shared" si="15"/>
        <v>0.14062329181824404</v>
      </c>
    </row>
    <row r="462" spans="1:8">
      <c r="A462" t="s">
        <v>73</v>
      </c>
      <c r="B462">
        <v>29000</v>
      </c>
      <c r="C462" t="s">
        <v>46</v>
      </c>
      <c r="D462" s="2">
        <v>139144021</v>
      </c>
      <c r="E462" s="2">
        <v>17123350</v>
      </c>
      <c r="F462" s="2">
        <v>15515628</v>
      </c>
      <c r="G462" s="2">
        <f t="shared" si="14"/>
        <v>32638978</v>
      </c>
      <c r="H462">
        <f t="shared" si="15"/>
        <v>0.23456974841915773</v>
      </c>
    </row>
    <row r="463" spans="1:8">
      <c r="A463" t="s">
        <v>73</v>
      </c>
      <c r="B463">
        <v>30000</v>
      </c>
      <c r="C463" t="s">
        <v>47</v>
      </c>
      <c r="D463" s="2">
        <v>110411018</v>
      </c>
      <c r="E463" s="2">
        <v>26067786</v>
      </c>
      <c r="F463" s="2">
        <v>14916052</v>
      </c>
      <c r="G463" s="2">
        <f t="shared" si="14"/>
        <v>40983838</v>
      </c>
      <c r="H463">
        <f t="shared" si="15"/>
        <v>0.3711933712992303</v>
      </c>
    </row>
    <row r="464" spans="1:8">
      <c r="A464" t="s">
        <v>73</v>
      </c>
      <c r="B464">
        <v>31000</v>
      </c>
      <c r="C464" t="s">
        <v>48</v>
      </c>
      <c r="D464" s="2">
        <v>61194156</v>
      </c>
      <c r="E464" s="2">
        <v>20165243</v>
      </c>
      <c r="F464" s="2">
        <v>14771368</v>
      </c>
      <c r="G464" s="2">
        <f t="shared" si="14"/>
        <v>34936611</v>
      </c>
      <c r="H464">
        <f t="shared" si="15"/>
        <v>0.57091417356912322</v>
      </c>
    </row>
    <row r="465" spans="1:8">
      <c r="A465" t="s">
        <v>73</v>
      </c>
      <c r="B465">
        <v>32000</v>
      </c>
      <c r="C465" t="s">
        <v>49</v>
      </c>
      <c r="D465" s="2">
        <v>76578790</v>
      </c>
      <c r="E465" s="2">
        <v>35465665</v>
      </c>
      <c r="F465" s="2">
        <v>19676265</v>
      </c>
      <c r="G465" s="2">
        <f t="shared" si="14"/>
        <v>55141930</v>
      </c>
      <c r="H465">
        <f t="shared" si="15"/>
        <v>0.72006791958974536</v>
      </c>
    </row>
    <row r="466" spans="1:8">
      <c r="A466" t="s">
        <v>73</v>
      </c>
      <c r="B466">
        <v>33000</v>
      </c>
      <c r="C466" t="s">
        <v>50</v>
      </c>
      <c r="D466" s="2">
        <v>246773600</v>
      </c>
      <c r="E466" s="2">
        <v>22284538</v>
      </c>
      <c r="F466" s="2">
        <v>18417666</v>
      </c>
      <c r="G466" s="2">
        <f t="shared" si="14"/>
        <v>40702204</v>
      </c>
      <c r="H466">
        <f t="shared" si="15"/>
        <v>0.16493743252924947</v>
      </c>
    </row>
    <row r="467" spans="1:8">
      <c r="A467" t="s">
        <v>73</v>
      </c>
      <c r="B467">
        <v>34000</v>
      </c>
      <c r="C467" t="s">
        <v>51</v>
      </c>
      <c r="D467" s="2">
        <v>384717007</v>
      </c>
      <c r="E467" s="2">
        <v>32884010</v>
      </c>
      <c r="F467" s="2">
        <v>37166151</v>
      </c>
      <c r="G467" s="2">
        <f t="shared" si="14"/>
        <v>70050161</v>
      </c>
      <c r="H467">
        <f t="shared" si="15"/>
        <v>0.18208230914002718</v>
      </c>
    </row>
    <row r="468" spans="1:8">
      <c r="A468" t="s">
        <v>73</v>
      </c>
      <c r="B468">
        <v>35000</v>
      </c>
      <c r="C468" t="s">
        <v>52</v>
      </c>
      <c r="D468" s="2">
        <v>182560889</v>
      </c>
      <c r="E468" s="2">
        <v>35191867</v>
      </c>
      <c r="F468" s="2">
        <v>22810116</v>
      </c>
      <c r="G468" s="2">
        <f t="shared" si="14"/>
        <v>58001983</v>
      </c>
      <c r="H468">
        <f t="shared" si="15"/>
        <v>0.31771308366054241</v>
      </c>
    </row>
    <row r="469" spans="1:8">
      <c r="A469" t="s">
        <v>73</v>
      </c>
      <c r="B469">
        <v>36000</v>
      </c>
      <c r="C469" t="s">
        <v>53</v>
      </c>
      <c r="D469" s="2">
        <v>87671011</v>
      </c>
      <c r="E469" s="2">
        <v>20862738</v>
      </c>
      <c r="F469" s="2">
        <v>14306253</v>
      </c>
      <c r="G469" s="2">
        <f t="shared" si="14"/>
        <v>35168991</v>
      </c>
      <c r="H469">
        <f t="shared" si="15"/>
        <v>0.40114731880986293</v>
      </c>
    </row>
    <row r="470" spans="1:8">
      <c r="A470" t="s">
        <v>73</v>
      </c>
      <c r="B470">
        <v>37000</v>
      </c>
      <c r="C470" t="s">
        <v>54</v>
      </c>
      <c r="D470" s="2">
        <v>128968096</v>
      </c>
      <c r="E470" s="2">
        <v>11259889</v>
      </c>
      <c r="F470" s="2">
        <v>11887936</v>
      </c>
      <c r="G470" s="2">
        <f t="shared" si="14"/>
        <v>23147825</v>
      </c>
      <c r="H470">
        <f t="shared" si="15"/>
        <v>0.17948489369029685</v>
      </c>
    </row>
    <row r="471" spans="1:8">
      <c r="A471" t="s">
        <v>73</v>
      </c>
      <c r="B471">
        <v>38000</v>
      </c>
      <c r="C471" t="s">
        <v>55</v>
      </c>
      <c r="D471" s="2">
        <v>159759913</v>
      </c>
      <c r="E471" s="2">
        <v>24323168</v>
      </c>
      <c r="F471" s="2">
        <v>17733400</v>
      </c>
      <c r="G471" s="2">
        <f t="shared" si="14"/>
        <v>42056568</v>
      </c>
      <c r="H471">
        <f t="shared" si="15"/>
        <v>0.26324856599039337</v>
      </c>
    </row>
    <row r="472" spans="1:8">
      <c r="A472" t="s">
        <v>73</v>
      </c>
      <c r="B472">
        <v>39000</v>
      </c>
      <c r="C472" t="s">
        <v>56</v>
      </c>
      <c r="D472" s="2">
        <v>70822477</v>
      </c>
      <c r="E472" s="2">
        <v>22530698</v>
      </c>
      <c r="F472" s="2">
        <v>17608550</v>
      </c>
      <c r="G472" s="2">
        <f t="shared" si="14"/>
        <v>40139248</v>
      </c>
      <c r="H472">
        <f t="shared" si="15"/>
        <v>0.56675860122768651</v>
      </c>
    </row>
    <row r="473" spans="1:8">
      <c r="A473" t="s">
        <v>73</v>
      </c>
      <c r="B473">
        <v>40000</v>
      </c>
      <c r="C473" t="s">
        <v>57</v>
      </c>
      <c r="D473" s="2">
        <v>598627947</v>
      </c>
      <c r="E473" s="2">
        <v>45235429</v>
      </c>
      <c r="F473" s="2">
        <v>39459545</v>
      </c>
      <c r="G473" s="2">
        <f t="shared" si="14"/>
        <v>84694974</v>
      </c>
      <c r="H473">
        <f t="shared" si="15"/>
        <v>0.14148182426905639</v>
      </c>
    </row>
    <row r="474" spans="1:8">
      <c r="A474" t="s">
        <v>73</v>
      </c>
      <c r="B474">
        <v>41000</v>
      </c>
      <c r="C474" t="s">
        <v>58</v>
      </c>
      <c r="D474" s="2">
        <v>99424753</v>
      </c>
      <c r="E474" s="2">
        <v>24203061</v>
      </c>
      <c r="F474" s="2">
        <v>15082568</v>
      </c>
      <c r="G474" s="2">
        <f t="shared" si="14"/>
        <v>39285629</v>
      </c>
      <c r="H474">
        <f t="shared" si="15"/>
        <v>0.39512925920972619</v>
      </c>
    </row>
    <row r="475" spans="1:8">
      <c r="A475" t="s">
        <v>73</v>
      </c>
      <c r="B475">
        <v>42000</v>
      </c>
      <c r="C475" t="s">
        <v>59</v>
      </c>
      <c r="D475" s="2">
        <v>129107591</v>
      </c>
      <c r="E475" s="2">
        <v>56915944</v>
      </c>
      <c r="F475" s="2">
        <v>26688176</v>
      </c>
      <c r="G475" s="2">
        <f t="shared" si="14"/>
        <v>83604120</v>
      </c>
      <c r="H475">
        <f t="shared" si="15"/>
        <v>0.64755386846308671</v>
      </c>
    </row>
    <row r="476" spans="1:8">
      <c r="A476" t="s">
        <v>73</v>
      </c>
      <c r="B476">
        <v>43000</v>
      </c>
      <c r="C476" t="s">
        <v>60</v>
      </c>
      <c r="D476" s="2">
        <v>181775442</v>
      </c>
      <c r="E476" s="2">
        <v>41667872</v>
      </c>
      <c r="F476" s="2">
        <v>24362264</v>
      </c>
      <c r="G476" s="2">
        <f t="shared" si="14"/>
        <v>66030136</v>
      </c>
      <c r="H476">
        <f t="shared" si="15"/>
        <v>0.36325113708154261</v>
      </c>
    </row>
    <row r="477" spans="1:8">
      <c r="A477" t="s">
        <v>73</v>
      </c>
      <c r="B477">
        <v>44000</v>
      </c>
      <c r="C477" t="s">
        <v>61</v>
      </c>
      <c r="D477" s="2">
        <v>126910964</v>
      </c>
      <c r="E477" s="2">
        <v>43041329</v>
      </c>
      <c r="F477" s="2">
        <v>17247567</v>
      </c>
      <c r="G477" s="2">
        <f t="shared" si="14"/>
        <v>60288896</v>
      </c>
      <c r="H477">
        <f t="shared" si="15"/>
        <v>0.47504875938063162</v>
      </c>
    </row>
    <row r="478" spans="1:8">
      <c r="A478" t="s">
        <v>73</v>
      </c>
      <c r="B478">
        <v>45000</v>
      </c>
      <c r="C478" t="s">
        <v>62</v>
      </c>
      <c r="D478" s="2">
        <v>111640112</v>
      </c>
      <c r="E478" s="2">
        <v>33244835</v>
      </c>
      <c r="F478" s="2">
        <v>30410531</v>
      </c>
      <c r="G478" s="2">
        <f t="shared" si="14"/>
        <v>63655366</v>
      </c>
      <c r="H478">
        <f t="shared" si="15"/>
        <v>0.57018364510418984</v>
      </c>
    </row>
    <row r="479" spans="1:8">
      <c r="A479" t="s">
        <v>73</v>
      </c>
      <c r="B479">
        <v>46000</v>
      </c>
      <c r="C479" t="s">
        <v>63</v>
      </c>
      <c r="D479" s="2">
        <v>156320953</v>
      </c>
      <c r="E479" s="2">
        <v>67908880</v>
      </c>
      <c r="F479" s="2">
        <v>32833921</v>
      </c>
      <c r="G479" s="2">
        <f t="shared" si="14"/>
        <v>100742801</v>
      </c>
      <c r="H479">
        <f t="shared" si="15"/>
        <v>0.64446127704966072</v>
      </c>
    </row>
    <row r="480" spans="1:8">
      <c r="A480" t="s">
        <v>73</v>
      </c>
      <c r="B480">
        <v>47000</v>
      </c>
      <c r="C480" t="s">
        <v>64</v>
      </c>
      <c r="D480" s="2">
        <v>114729092</v>
      </c>
      <c r="E480" s="2">
        <v>98597902</v>
      </c>
      <c r="F480" s="2">
        <v>27217685</v>
      </c>
      <c r="G480" s="2">
        <f t="shared" si="14"/>
        <v>125815587</v>
      </c>
      <c r="H480">
        <f t="shared" si="15"/>
        <v>1.0966319423150319</v>
      </c>
    </row>
    <row r="481" spans="1:8">
      <c r="A481" t="s">
        <v>74</v>
      </c>
      <c r="B481" s="1" t="s">
        <v>7</v>
      </c>
      <c r="C481" t="s">
        <v>8</v>
      </c>
      <c r="D481" s="2">
        <v>20793974302</v>
      </c>
      <c r="E481" s="2">
        <v>1857185336</v>
      </c>
      <c r="F481" s="2">
        <v>515738120</v>
      </c>
      <c r="G481" s="2">
        <f t="shared" si="14"/>
        <v>2372923456</v>
      </c>
      <c r="H481">
        <f t="shared" si="15"/>
        <v>0.11411591750268578</v>
      </c>
    </row>
    <row r="482" spans="1:8">
      <c r="A482" t="s">
        <v>74</v>
      </c>
      <c r="B482" s="1" t="s">
        <v>9</v>
      </c>
      <c r="C482" t="s">
        <v>10</v>
      </c>
      <c r="D482" s="2">
        <v>648323135</v>
      </c>
      <c r="E482" s="2">
        <v>156474602</v>
      </c>
      <c r="F482" s="2">
        <v>32043759</v>
      </c>
      <c r="G482" s="2">
        <f t="shared" si="14"/>
        <v>188518361</v>
      </c>
      <c r="H482">
        <f t="shared" si="15"/>
        <v>0.29077839556041757</v>
      </c>
    </row>
    <row r="483" spans="1:8">
      <c r="A483" t="s">
        <v>74</v>
      </c>
      <c r="B483" s="1" t="s">
        <v>11</v>
      </c>
      <c r="C483" t="s">
        <v>12</v>
      </c>
      <c r="D483" s="2">
        <v>155417685</v>
      </c>
      <c r="E483" s="2">
        <v>39578143</v>
      </c>
      <c r="F483" s="2">
        <v>9794697</v>
      </c>
      <c r="G483" s="2">
        <f t="shared" si="14"/>
        <v>49372840</v>
      </c>
      <c r="H483">
        <f t="shared" si="15"/>
        <v>0.3176783903324773</v>
      </c>
    </row>
    <row r="484" spans="1:8">
      <c r="A484" t="s">
        <v>74</v>
      </c>
      <c r="B484" s="1" t="s">
        <v>13</v>
      </c>
      <c r="C484" t="s">
        <v>14</v>
      </c>
      <c r="D484" s="2">
        <v>143934815</v>
      </c>
      <c r="E484" s="2">
        <v>33099687</v>
      </c>
      <c r="F484" s="2">
        <v>6908202</v>
      </c>
      <c r="G484" s="2">
        <f t="shared" si="14"/>
        <v>40007889</v>
      </c>
      <c r="H484">
        <f t="shared" si="15"/>
        <v>0.27795838692674874</v>
      </c>
    </row>
    <row r="485" spans="1:8">
      <c r="A485" t="s">
        <v>74</v>
      </c>
      <c r="B485" s="1" t="s">
        <v>15</v>
      </c>
      <c r="C485" t="s">
        <v>16</v>
      </c>
      <c r="D485" s="2">
        <v>295444413</v>
      </c>
      <c r="E485" s="2">
        <v>28927523</v>
      </c>
      <c r="F485" s="2">
        <v>6298165</v>
      </c>
      <c r="G485" s="2">
        <f t="shared" si="14"/>
        <v>35225688</v>
      </c>
      <c r="H485">
        <f t="shared" si="15"/>
        <v>0.1192294944497732</v>
      </c>
    </row>
    <row r="486" spans="1:8">
      <c r="A486" t="s">
        <v>74</v>
      </c>
      <c r="B486" s="1" t="s">
        <v>17</v>
      </c>
      <c r="C486" t="s">
        <v>18</v>
      </c>
      <c r="D486" s="2">
        <v>114115112</v>
      </c>
      <c r="E486" s="2">
        <v>35850220</v>
      </c>
      <c r="F486" s="2">
        <v>4614973</v>
      </c>
      <c r="G486" s="2">
        <f t="shared" si="14"/>
        <v>40465193</v>
      </c>
      <c r="H486">
        <f t="shared" si="15"/>
        <v>0.35459977465561265</v>
      </c>
    </row>
    <row r="487" spans="1:8">
      <c r="A487" t="s">
        <v>74</v>
      </c>
      <c r="B487" s="1" t="s">
        <v>19</v>
      </c>
      <c r="C487" t="s">
        <v>20</v>
      </c>
      <c r="D487" s="2">
        <v>127308501</v>
      </c>
      <c r="E487" s="2">
        <v>18504397</v>
      </c>
      <c r="F487" s="2">
        <v>6259114</v>
      </c>
      <c r="G487" s="2">
        <f t="shared" si="14"/>
        <v>24763511</v>
      </c>
      <c r="H487">
        <f t="shared" si="15"/>
        <v>0.19451576921795663</v>
      </c>
    </row>
    <row r="488" spans="1:8">
      <c r="A488" t="s">
        <v>74</v>
      </c>
      <c r="B488" s="1" t="s">
        <v>21</v>
      </c>
      <c r="C488" t="s">
        <v>22</v>
      </c>
      <c r="D488" s="2">
        <v>263997277</v>
      </c>
      <c r="E488" s="2">
        <v>32139930</v>
      </c>
      <c r="F488" s="2">
        <v>8411126</v>
      </c>
      <c r="G488" s="2">
        <f t="shared" si="14"/>
        <v>40551056</v>
      </c>
      <c r="H488">
        <f t="shared" si="15"/>
        <v>0.15360406918136507</v>
      </c>
    </row>
    <row r="489" spans="1:8">
      <c r="A489" t="s">
        <v>74</v>
      </c>
      <c r="B489" s="1" t="s">
        <v>23</v>
      </c>
      <c r="C489" t="s">
        <v>24</v>
      </c>
      <c r="D489" s="2">
        <v>429674368</v>
      </c>
      <c r="E489" s="2">
        <v>31533304</v>
      </c>
      <c r="F489" s="2">
        <v>7508684</v>
      </c>
      <c r="G489" s="2">
        <f t="shared" si="14"/>
        <v>39041988</v>
      </c>
      <c r="H489">
        <f t="shared" si="15"/>
        <v>9.0864130857347306E-2</v>
      </c>
    </row>
    <row r="490" spans="1:8">
      <c r="A490" t="s">
        <v>74</v>
      </c>
      <c r="B490" s="1" t="s">
        <v>25</v>
      </c>
      <c r="C490" t="s">
        <v>26</v>
      </c>
      <c r="D490" s="2">
        <v>301028548</v>
      </c>
      <c r="E490" s="2">
        <v>28322782</v>
      </c>
      <c r="F490" s="2">
        <v>6513317</v>
      </c>
      <c r="G490" s="2">
        <f t="shared" si="14"/>
        <v>34836099</v>
      </c>
      <c r="H490">
        <f t="shared" si="15"/>
        <v>0.11572357250316338</v>
      </c>
    </row>
    <row r="491" spans="1:8">
      <c r="A491" t="s">
        <v>74</v>
      </c>
      <c r="B491">
        <v>10000</v>
      </c>
      <c r="C491" t="s">
        <v>27</v>
      </c>
      <c r="D491" s="2">
        <v>277906857</v>
      </c>
      <c r="E491" s="2">
        <v>18140633</v>
      </c>
      <c r="F491" s="2">
        <v>5496478</v>
      </c>
      <c r="G491" s="2">
        <f t="shared" si="14"/>
        <v>23637111</v>
      </c>
      <c r="H491">
        <f t="shared" si="15"/>
        <v>8.5054076229576447E-2</v>
      </c>
    </row>
    <row r="492" spans="1:8">
      <c r="A492" t="s">
        <v>74</v>
      </c>
      <c r="B492">
        <v>11000</v>
      </c>
      <c r="C492" t="s">
        <v>28</v>
      </c>
      <c r="D492" s="2">
        <v>867378613</v>
      </c>
      <c r="E492" s="2">
        <v>26092235</v>
      </c>
      <c r="F492" s="2">
        <v>15659230</v>
      </c>
      <c r="G492" s="2">
        <f t="shared" si="14"/>
        <v>41751465</v>
      </c>
      <c r="H492">
        <f t="shared" si="15"/>
        <v>4.8135225349394219E-2</v>
      </c>
    </row>
    <row r="493" spans="1:8">
      <c r="A493" t="s">
        <v>74</v>
      </c>
      <c r="B493">
        <v>12000</v>
      </c>
      <c r="C493" t="s">
        <v>29</v>
      </c>
      <c r="D493" s="2">
        <v>784015091</v>
      </c>
      <c r="E493" s="2">
        <v>35988089</v>
      </c>
      <c r="F493" s="2">
        <v>25388995</v>
      </c>
      <c r="G493" s="2">
        <f t="shared" si="14"/>
        <v>61377084</v>
      </c>
      <c r="H493">
        <f t="shared" si="15"/>
        <v>7.8285590041021286E-2</v>
      </c>
    </row>
    <row r="494" spans="1:8">
      <c r="A494" t="s">
        <v>74</v>
      </c>
      <c r="B494">
        <v>13000</v>
      </c>
      <c r="C494" t="s">
        <v>30</v>
      </c>
      <c r="D494" s="2">
        <v>5497271578</v>
      </c>
      <c r="E494" s="2">
        <v>85580240</v>
      </c>
      <c r="F494" s="2">
        <v>43228483</v>
      </c>
      <c r="G494" s="2">
        <f t="shared" si="14"/>
        <v>128808723</v>
      </c>
      <c r="H494">
        <f t="shared" si="15"/>
        <v>2.3431391586235365E-2</v>
      </c>
    </row>
    <row r="495" spans="1:8">
      <c r="A495" t="s">
        <v>74</v>
      </c>
      <c r="B495">
        <v>14000</v>
      </c>
      <c r="C495" t="s">
        <v>31</v>
      </c>
      <c r="D495" s="2">
        <v>1281171724</v>
      </c>
      <c r="E495" s="2">
        <v>26703422</v>
      </c>
      <c r="F495" s="2">
        <v>17359215</v>
      </c>
      <c r="G495" s="2">
        <f t="shared" si="14"/>
        <v>44062637</v>
      </c>
      <c r="H495">
        <f t="shared" si="15"/>
        <v>3.4392451983275271E-2</v>
      </c>
    </row>
    <row r="496" spans="1:8">
      <c r="A496" t="s">
        <v>74</v>
      </c>
      <c r="B496">
        <v>15000</v>
      </c>
      <c r="C496" t="s">
        <v>32</v>
      </c>
      <c r="D496" s="2">
        <v>298350044</v>
      </c>
      <c r="E496" s="2">
        <v>80841014</v>
      </c>
      <c r="F496" s="2">
        <v>17645422</v>
      </c>
      <c r="G496" s="2">
        <f t="shared" si="14"/>
        <v>98486436</v>
      </c>
      <c r="H496">
        <f t="shared" si="15"/>
        <v>0.33010364161367445</v>
      </c>
    </row>
    <row r="497" spans="1:8">
      <c r="A497" t="s">
        <v>74</v>
      </c>
      <c r="B497">
        <v>16000</v>
      </c>
      <c r="C497" t="s">
        <v>33</v>
      </c>
      <c r="D497" s="2">
        <v>151140708</v>
      </c>
      <c r="E497" s="2">
        <v>22221146</v>
      </c>
      <c r="F497" s="2">
        <v>7078175</v>
      </c>
      <c r="G497" s="2">
        <f t="shared" si="14"/>
        <v>29299321</v>
      </c>
      <c r="H497">
        <f t="shared" si="15"/>
        <v>0.19385459673776306</v>
      </c>
    </row>
    <row r="498" spans="1:8">
      <c r="A498" t="s">
        <v>74</v>
      </c>
      <c r="B498">
        <v>17000</v>
      </c>
      <c r="C498" t="s">
        <v>34</v>
      </c>
      <c r="D498" s="2">
        <v>164179526</v>
      </c>
      <c r="E498" s="2">
        <v>22319249</v>
      </c>
      <c r="F498" s="2">
        <v>6673632</v>
      </c>
      <c r="G498" s="2">
        <f t="shared" si="14"/>
        <v>28992881</v>
      </c>
      <c r="H498">
        <f t="shared" si="15"/>
        <v>0.17659254906120267</v>
      </c>
    </row>
    <row r="499" spans="1:8">
      <c r="A499" t="s">
        <v>74</v>
      </c>
      <c r="B499">
        <v>18000</v>
      </c>
      <c r="C499" t="s">
        <v>35</v>
      </c>
      <c r="D499" s="2">
        <v>123272133</v>
      </c>
      <c r="E499" s="2">
        <v>35141328</v>
      </c>
      <c r="F499" s="2">
        <v>8181623</v>
      </c>
      <c r="G499" s="2">
        <f t="shared" si="14"/>
        <v>43322951</v>
      </c>
      <c r="H499">
        <f t="shared" si="15"/>
        <v>0.35144156222233941</v>
      </c>
    </row>
    <row r="500" spans="1:8">
      <c r="A500" t="s">
        <v>74</v>
      </c>
      <c r="B500">
        <v>19000</v>
      </c>
      <c r="C500" t="s">
        <v>36</v>
      </c>
      <c r="D500" s="2">
        <v>124589198</v>
      </c>
      <c r="E500" s="2">
        <v>33279975</v>
      </c>
      <c r="F500" s="2">
        <v>4062700</v>
      </c>
      <c r="G500" s="2">
        <f t="shared" si="14"/>
        <v>37342675</v>
      </c>
      <c r="H500">
        <f t="shared" si="15"/>
        <v>0.29972642572111269</v>
      </c>
    </row>
    <row r="501" spans="1:8">
      <c r="A501" t="s">
        <v>74</v>
      </c>
      <c r="B501">
        <v>20000</v>
      </c>
      <c r="C501" t="s">
        <v>37</v>
      </c>
      <c r="D501" s="2">
        <v>282507342</v>
      </c>
      <c r="E501" s="2">
        <v>39269134</v>
      </c>
      <c r="F501" s="2">
        <v>8807246</v>
      </c>
      <c r="G501" s="2">
        <f t="shared" si="14"/>
        <v>48076380</v>
      </c>
      <c r="H501">
        <f t="shared" si="15"/>
        <v>0.1701774532996031</v>
      </c>
    </row>
    <row r="502" spans="1:8">
      <c r="A502" t="s">
        <v>74</v>
      </c>
      <c r="B502">
        <v>21000</v>
      </c>
      <c r="C502" t="s">
        <v>38</v>
      </c>
      <c r="D502" s="2">
        <v>279031633</v>
      </c>
      <c r="E502" s="2">
        <v>29240318</v>
      </c>
      <c r="F502" s="2">
        <v>6971600</v>
      </c>
      <c r="G502" s="2">
        <f t="shared" si="14"/>
        <v>36211918</v>
      </c>
      <c r="H502">
        <f t="shared" si="15"/>
        <v>0.12977710666947931</v>
      </c>
    </row>
    <row r="503" spans="1:8">
      <c r="A503" t="s">
        <v>74</v>
      </c>
      <c r="B503">
        <v>22000</v>
      </c>
      <c r="C503" t="s">
        <v>39</v>
      </c>
      <c r="D503" s="2">
        <v>598152048</v>
      </c>
      <c r="E503" s="2">
        <v>39881990</v>
      </c>
      <c r="F503" s="2">
        <v>10268554</v>
      </c>
      <c r="G503" s="2">
        <f t="shared" si="14"/>
        <v>50150544</v>
      </c>
      <c r="H503">
        <f t="shared" si="15"/>
        <v>8.38424680943331E-2</v>
      </c>
    </row>
    <row r="504" spans="1:8">
      <c r="A504" t="s">
        <v>74</v>
      </c>
      <c r="B504">
        <v>23000</v>
      </c>
      <c r="C504" t="s">
        <v>40</v>
      </c>
      <c r="D504" s="2">
        <v>1414281656</v>
      </c>
      <c r="E504" s="2">
        <v>52686021</v>
      </c>
      <c r="F504" s="2">
        <v>15052247</v>
      </c>
      <c r="G504" s="2">
        <f t="shared" si="14"/>
        <v>67738268</v>
      </c>
      <c r="H504">
        <f t="shared" si="15"/>
        <v>4.7895882487497952E-2</v>
      </c>
    </row>
    <row r="505" spans="1:8">
      <c r="A505" t="s">
        <v>74</v>
      </c>
      <c r="B505">
        <v>24000</v>
      </c>
      <c r="C505" t="s">
        <v>41</v>
      </c>
      <c r="D505" s="2">
        <v>276054022</v>
      </c>
      <c r="E505" s="2">
        <v>28561421</v>
      </c>
      <c r="F505" s="2">
        <v>3114890</v>
      </c>
      <c r="G505" s="2">
        <f t="shared" si="14"/>
        <v>31676311</v>
      </c>
      <c r="H505">
        <f t="shared" si="15"/>
        <v>0.11474678314956774</v>
      </c>
    </row>
    <row r="506" spans="1:8">
      <c r="A506" t="s">
        <v>74</v>
      </c>
      <c r="B506">
        <v>25000</v>
      </c>
      <c r="C506" t="s">
        <v>42</v>
      </c>
      <c r="D506" s="2">
        <v>202742909</v>
      </c>
      <c r="E506" s="2">
        <v>16511281</v>
      </c>
      <c r="F506" s="2">
        <v>4897010</v>
      </c>
      <c r="G506" s="2">
        <f t="shared" si="14"/>
        <v>21408291</v>
      </c>
      <c r="H506">
        <f t="shared" si="15"/>
        <v>0.10559329105808578</v>
      </c>
    </row>
    <row r="507" spans="1:8">
      <c r="A507" t="s">
        <v>74</v>
      </c>
      <c r="B507">
        <v>26000</v>
      </c>
      <c r="C507" t="s">
        <v>43</v>
      </c>
      <c r="D507" s="2">
        <v>359339580</v>
      </c>
      <c r="E507" s="2">
        <v>23623866</v>
      </c>
      <c r="F507" s="2">
        <v>8299781</v>
      </c>
      <c r="G507" s="2">
        <f t="shared" si="14"/>
        <v>31923647</v>
      </c>
      <c r="H507">
        <f t="shared" si="15"/>
        <v>8.8839773787234899E-2</v>
      </c>
    </row>
    <row r="508" spans="1:8">
      <c r="A508" t="s">
        <v>74</v>
      </c>
      <c r="B508">
        <v>27000</v>
      </c>
      <c r="C508" t="s">
        <v>44</v>
      </c>
      <c r="D508" s="2">
        <v>1342486283</v>
      </c>
      <c r="E508" s="2">
        <v>41971683</v>
      </c>
      <c r="F508" s="2">
        <v>32069072</v>
      </c>
      <c r="G508" s="2">
        <f t="shared" si="14"/>
        <v>74040755</v>
      </c>
      <c r="H508">
        <f t="shared" si="15"/>
        <v>5.5151963887887262E-2</v>
      </c>
    </row>
    <row r="509" spans="1:8">
      <c r="A509" t="s">
        <v>74</v>
      </c>
      <c r="B509">
        <v>28000</v>
      </c>
      <c r="C509" t="s">
        <v>45</v>
      </c>
      <c r="D509" s="2">
        <v>718086866</v>
      </c>
      <c r="E509" s="2">
        <v>64903428</v>
      </c>
      <c r="F509" s="2">
        <v>15971667</v>
      </c>
      <c r="G509" s="2">
        <f t="shared" si="14"/>
        <v>80875095</v>
      </c>
      <c r="H509">
        <f t="shared" si="15"/>
        <v>0.11262578224066835</v>
      </c>
    </row>
    <row r="510" spans="1:8">
      <c r="A510" t="s">
        <v>74</v>
      </c>
      <c r="B510">
        <v>29000</v>
      </c>
      <c r="C510" t="s">
        <v>46</v>
      </c>
      <c r="D510" s="2">
        <v>147204173</v>
      </c>
      <c r="E510" s="2">
        <v>19725336</v>
      </c>
      <c r="F510" s="2">
        <v>2508686</v>
      </c>
      <c r="G510" s="2">
        <f t="shared" si="14"/>
        <v>22234022</v>
      </c>
      <c r="H510">
        <f t="shared" si="15"/>
        <v>0.15104206318933636</v>
      </c>
    </row>
    <row r="511" spans="1:8">
      <c r="A511" t="s">
        <v>74</v>
      </c>
      <c r="B511">
        <v>30000</v>
      </c>
      <c r="C511" t="s">
        <v>47</v>
      </c>
      <c r="D511" s="2">
        <v>107215013</v>
      </c>
      <c r="E511" s="2">
        <v>26921642</v>
      </c>
      <c r="F511" s="2">
        <v>4276805</v>
      </c>
      <c r="G511" s="2">
        <f t="shared" si="14"/>
        <v>31198447</v>
      </c>
      <c r="H511">
        <f t="shared" si="15"/>
        <v>0.29098953707164127</v>
      </c>
    </row>
    <row r="512" spans="1:8">
      <c r="A512" t="s">
        <v>74</v>
      </c>
      <c r="B512">
        <v>31000</v>
      </c>
      <c r="C512" t="s">
        <v>48</v>
      </c>
      <c r="D512" s="2">
        <v>61672874</v>
      </c>
      <c r="E512" s="2">
        <v>19127255</v>
      </c>
      <c r="F512" s="2">
        <v>4463716</v>
      </c>
      <c r="G512" s="2">
        <f t="shared" si="14"/>
        <v>23590971</v>
      </c>
      <c r="H512">
        <f t="shared" si="15"/>
        <v>0.38251778245327112</v>
      </c>
    </row>
    <row r="513" spans="1:8">
      <c r="A513" t="s">
        <v>74</v>
      </c>
      <c r="B513">
        <v>32000</v>
      </c>
      <c r="C513" t="s">
        <v>49</v>
      </c>
      <c r="D513" s="2">
        <v>77403432</v>
      </c>
      <c r="E513" s="2">
        <v>35638273</v>
      </c>
      <c r="F513" s="2">
        <v>7000096</v>
      </c>
      <c r="G513" s="2">
        <f t="shared" si="14"/>
        <v>42638369</v>
      </c>
      <c r="H513">
        <f t="shared" si="15"/>
        <v>0.55085889473221294</v>
      </c>
    </row>
    <row r="514" spans="1:8">
      <c r="A514" t="s">
        <v>74</v>
      </c>
      <c r="B514">
        <v>33000</v>
      </c>
      <c r="C514" t="s">
        <v>50</v>
      </c>
      <c r="D514" s="2">
        <v>255215781</v>
      </c>
      <c r="E514" s="2">
        <v>25604561</v>
      </c>
      <c r="F514" s="2">
        <v>8628405</v>
      </c>
      <c r="G514" s="2">
        <f t="shared" si="14"/>
        <v>34232966</v>
      </c>
      <c r="H514">
        <f t="shared" si="15"/>
        <v>0.13413342178867849</v>
      </c>
    </row>
    <row r="515" spans="1:8">
      <c r="A515" t="s">
        <v>74</v>
      </c>
      <c r="B515">
        <v>34000</v>
      </c>
      <c r="C515" t="s">
        <v>51</v>
      </c>
      <c r="D515" s="2">
        <v>392784031</v>
      </c>
      <c r="E515" s="2">
        <v>37851564</v>
      </c>
      <c r="F515" s="2">
        <v>24078864</v>
      </c>
      <c r="G515" s="2">
        <f t="shared" ref="G515:G578" si="16">E515+F515</f>
        <v>61930428</v>
      </c>
      <c r="H515">
        <f t="shared" ref="H515:H578" si="17">G515/D515</f>
        <v>0.15767043238068912</v>
      </c>
    </row>
    <row r="516" spans="1:8">
      <c r="A516" t="s">
        <v>74</v>
      </c>
      <c r="B516">
        <v>35000</v>
      </c>
      <c r="C516" t="s">
        <v>52</v>
      </c>
      <c r="D516" s="2">
        <v>194978493</v>
      </c>
      <c r="E516" s="2">
        <v>38154616</v>
      </c>
      <c r="F516" s="2">
        <v>12313147</v>
      </c>
      <c r="G516" s="2">
        <f t="shared" si="16"/>
        <v>50467763</v>
      </c>
      <c r="H516">
        <f t="shared" si="17"/>
        <v>0.25883758882062957</v>
      </c>
    </row>
    <row r="517" spans="1:8">
      <c r="A517" t="s">
        <v>74</v>
      </c>
      <c r="B517">
        <v>36000</v>
      </c>
      <c r="C517" t="s">
        <v>53</v>
      </c>
      <c r="D517" s="2">
        <v>93382499</v>
      </c>
      <c r="E517" s="2">
        <v>25969726</v>
      </c>
      <c r="F517" s="2">
        <v>3123279</v>
      </c>
      <c r="G517" s="2">
        <f t="shared" si="16"/>
        <v>29093005</v>
      </c>
      <c r="H517">
        <f t="shared" si="17"/>
        <v>0.31154665286907773</v>
      </c>
    </row>
    <row r="518" spans="1:8">
      <c r="A518" t="s">
        <v>74</v>
      </c>
      <c r="B518">
        <v>37000</v>
      </c>
      <c r="C518" t="s">
        <v>54</v>
      </c>
      <c r="D518" s="2">
        <v>132718400</v>
      </c>
      <c r="E518" s="2">
        <v>12789756</v>
      </c>
      <c r="F518" s="2">
        <v>4330893</v>
      </c>
      <c r="G518" s="2">
        <f t="shared" si="16"/>
        <v>17120649</v>
      </c>
      <c r="H518">
        <f t="shared" si="17"/>
        <v>0.1289998146451434</v>
      </c>
    </row>
    <row r="519" spans="1:8">
      <c r="A519" t="s">
        <v>74</v>
      </c>
      <c r="B519">
        <v>38000</v>
      </c>
      <c r="C519" t="s">
        <v>55</v>
      </c>
      <c r="D519" s="2">
        <v>169714992</v>
      </c>
      <c r="E519" s="2">
        <v>28668520</v>
      </c>
      <c r="F519" s="2">
        <v>5828524</v>
      </c>
      <c r="G519" s="2">
        <f t="shared" si="16"/>
        <v>34497044</v>
      </c>
      <c r="H519">
        <f t="shared" si="17"/>
        <v>0.20326456486531255</v>
      </c>
    </row>
    <row r="520" spans="1:8">
      <c r="A520" t="s">
        <v>74</v>
      </c>
      <c r="B520">
        <v>39000</v>
      </c>
      <c r="C520" t="s">
        <v>56</v>
      </c>
      <c r="D520" s="2">
        <v>74350651</v>
      </c>
      <c r="E520" s="2">
        <v>25183895</v>
      </c>
      <c r="F520" s="2">
        <v>4628584</v>
      </c>
      <c r="G520" s="2">
        <f t="shared" si="16"/>
        <v>29812479</v>
      </c>
      <c r="H520">
        <f t="shared" si="17"/>
        <v>0.40097132438019945</v>
      </c>
    </row>
    <row r="521" spans="1:8">
      <c r="A521" t="s">
        <v>74</v>
      </c>
      <c r="B521">
        <v>40000</v>
      </c>
      <c r="C521" t="s">
        <v>57</v>
      </c>
      <c r="D521" s="2">
        <v>622544910</v>
      </c>
      <c r="E521" s="2">
        <v>47766397</v>
      </c>
      <c r="F521" s="2">
        <v>20755485</v>
      </c>
      <c r="G521" s="2">
        <f t="shared" si="16"/>
        <v>68521882</v>
      </c>
      <c r="H521">
        <f t="shared" si="17"/>
        <v>0.11006737168568288</v>
      </c>
    </row>
    <row r="522" spans="1:8">
      <c r="A522" t="s">
        <v>74</v>
      </c>
      <c r="B522">
        <v>41000</v>
      </c>
      <c r="C522" t="s">
        <v>58</v>
      </c>
      <c r="D522" s="2">
        <v>95524221</v>
      </c>
      <c r="E522" s="2">
        <v>24277082</v>
      </c>
      <c r="F522" s="2">
        <v>3862736</v>
      </c>
      <c r="G522" s="2">
        <f t="shared" si="16"/>
        <v>28139818</v>
      </c>
      <c r="H522">
        <f t="shared" si="17"/>
        <v>0.29458306705270071</v>
      </c>
    </row>
    <row r="523" spans="1:8">
      <c r="A523" t="s">
        <v>74</v>
      </c>
      <c r="B523">
        <v>42000</v>
      </c>
      <c r="C523" t="s">
        <v>59</v>
      </c>
      <c r="D523" s="2">
        <v>130190910</v>
      </c>
      <c r="E523" s="2">
        <v>55578279</v>
      </c>
      <c r="F523" s="2">
        <v>13380810</v>
      </c>
      <c r="G523" s="2">
        <f t="shared" si="16"/>
        <v>68959089</v>
      </c>
      <c r="H523">
        <f t="shared" si="17"/>
        <v>0.5296766801921885</v>
      </c>
    </row>
    <row r="524" spans="1:8">
      <c r="A524" t="s">
        <v>74</v>
      </c>
      <c r="B524">
        <v>43000</v>
      </c>
      <c r="C524" t="s">
        <v>60</v>
      </c>
      <c r="D524" s="2">
        <v>192188451</v>
      </c>
      <c r="E524" s="2">
        <v>48779988</v>
      </c>
      <c r="F524" s="2">
        <v>11129769</v>
      </c>
      <c r="G524" s="2">
        <f t="shared" si="16"/>
        <v>59909757</v>
      </c>
      <c r="H524">
        <f t="shared" si="17"/>
        <v>0.31172402237634977</v>
      </c>
    </row>
    <row r="525" spans="1:8">
      <c r="A525" t="s">
        <v>74</v>
      </c>
      <c r="B525">
        <v>44000</v>
      </c>
      <c r="C525" t="s">
        <v>61</v>
      </c>
      <c r="D525" s="2">
        <v>133305124</v>
      </c>
      <c r="E525" s="2">
        <v>46474997</v>
      </c>
      <c r="F525" s="2">
        <v>5213474</v>
      </c>
      <c r="G525" s="2">
        <f t="shared" si="16"/>
        <v>51688471</v>
      </c>
      <c r="H525">
        <f t="shared" si="17"/>
        <v>0.38774556782978575</v>
      </c>
    </row>
    <row r="526" spans="1:8">
      <c r="A526" t="s">
        <v>74</v>
      </c>
      <c r="B526">
        <v>45000</v>
      </c>
      <c r="C526" t="s">
        <v>62</v>
      </c>
      <c r="D526" s="2">
        <v>112452910</v>
      </c>
      <c r="E526" s="2">
        <v>35040269</v>
      </c>
      <c r="F526" s="2">
        <v>10071855</v>
      </c>
      <c r="G526" s="2">
        <f t="shared" si="16"/>
        <v>45112124</v>
      </c>
      <c r="H526">
        <f t="shared" si="17"/>
        <v>0.40116457635467145</v>
      </c>
    </row>
    <row r="527" spans="1:8">
      <c r="A527" t="s">
        <v>74</v>
      </c>
      <c r="B527">
        <v>46000</v>
      </c>
      <c r="C527" t="s">
        <v>63</v>
      </c>
      <c r="D527" s="2">
        <v>165137421</v>
      </c>
      <c r="E527" s="2">
        <v>78071176</v>
      </c>
      <c r="F527" s="2">
        <v>16700560</v>
      </c>
      <c r="G527" s="2">
        <f t="shared" si="16"/>
        <v>94771736</v>
      </c>
      <c r="H527">
        <f t="shared" si="17"/>
        <v>0.57389618552902066</v>
      </c>
    </row>
    <row r="528" spans="1:8">
      <c r="A528" t="s">
        <v>74</v>
      </c>
      <c r="B528">
        <v>47000</v>
      </c>
      <c r="C528" t="s">
        <v>64</v>
      </c>
      <c r="D528" s="2">
        <v>114788351</v>
      </c>
      <c r="E528" s="2">
        <v>98174943</v>
      </c>
      <c r="F528" s="2">
        <v>8864375</v>
      </c>
      <c r="G528" s="2">
        <f t="shared" si="16"/>
        <v>107039318</v>
      </c>
      <c r="H528">
        <f t="shared" si="17"/>
        <v>0.93249286245082486</v>
      </c>
    </row>
    <row r="529" spans="1:8">
      <c r="A529" t="s">
        <v>75</v>
      </c>
      <c r="B529" s="1" t="s">
        <v>7</v>
      </c>
      <c r="C529" t="s">
        <v>8</v>
      </c>
      <c r="D529" s="2">
        <v>18345200415</v>
      </c>
      <c r="E529" s="2">
        <v>2083601542</v>
      </c>
      <c r="F529" s="2">
        <v>1077793082</v>
      </c>
      <c r="G529" s="2">
        <f t="shared" si="16"/>
        <v>3161394624</v>
      </c>
      <c r="H529">
        <f t="shared" si="17"/>
        <v>0.17232815954493894</v>
      </c>
    </row>
    <row r="530" spans="1:8">
      <c r="A530" t="s">
        <v>75</v>
      </c>
      <c r="B530" s="1" t="s">
        <v>9</v>
      </c>
      <c r="C530" t="s">
        <v>10</v>
      </c>
      <c r="D530" s="2">
        <v>582075120</v>
      </c>
      <c r="E530" s="2">
        <v>186909093</v>
      </c>
      <c r="F530" s="2">
        <v>70001064</v>
      </c>
      <c r="G530" s="2">
        <f t="shared" si="16"/>
        <v>256910157</v>
      </c>
      <c r="H530">
        <f t="shared" si="17"/>
        <v>0.44136941809160302</v>
      </c>
    </row>
    <row r="531" spans="1:8">
      <c r="A531" t="s">
        <v>75</v>
      </c>
      <c r="B531" s="1" t="s">
        <v>11</v>
      </c>
      <c r="C531" t="s">
        <v>12</v>
      </c>
      <c r="D531" s="2">
        <v>149248379</v>
      </c>
      <c r="E531" s="2">
        <v>41898389</v>
      </c>
      <c r="F531" s="2">
        <v>20141003</v>
      </c>
      <c r="G531" s="2">
        <f t="shared" si="16"/>
        <v>62039392</v>
      </c>
      <c r="H531">
        <f t="shared" si="17"/>
        <v>0.41567883293392421</v>
      </c>
    </row>
    <row r="532" spans="1:8">
      <c r="A532" t="s">
        <v>75</v>
      </c>
      <c r="B532" s="1" t="s">
        <v>13</v>
      </c>
      <c r="C532" t="s">
        <v>14</v>
      </c>
      <c r="D532" s="2">
        <v>129102003</v>
      </c>
      <c r="E532" s="2">
        <v>37838444</v>
      </c>
      <c r="F532" s="2">
        <v>17908602</v>
      </c>
      <c r="G532" s="2">
        <f t="shared" si="16"/>
        <v>55747046</v>
      </c>
      <c r="H532">
        <f t="shared" si="17"/>
        <v>0.43180620520659158</v>
      </c>
    </row>
    <row r="533" spans="1:8">
      <c r="A533" t="s">
        <v>75</v>
      </c>
      <c r="B533" s="1" t="s">
        <v>15</v>
      </c>
      <c r="C533" t="s">
        <v>16</v>
      </c>
      <c r="D533" s="2">
        <v>264081036</v>
      </c>
      <c r="E533" s="2">
        <v>32106952</v>
      </c>
      <c r="F533" s="2">
        <v>14271740</v>
      </c>
      <c r="G533" s="2">
        <f t="shared" si="16"/>
        <v>46378692</v>
      </c>
      <c r="H533">
        <f t="shared" si="17"/>
        <v>0.17562295537192607</v>
      </c>
    </row>
    <row r="534" spans="1:8">
      <c r="A534" t="s">
        <v>75</v>
      </c>
      <c r="B534" s="1" t="s">
        <v>17</v>
      </c>
      <c r="C534" t="s">
        <v>18</v>
      </c>
      <c r="D534" s="2">
        <v>101119912</v>
      </c>
      <c r="E534" s="2">
        <v>42917900</v>
      </c>
      <c r="F534" s="2">
        <v>16180481</v>
      </c>
      <c r="G534" s="2">
        <f t="shared" si="16"/>
        <v>59098381</v>
      </c>
      <c r="H534">
        <f t="shared" si="17"/>
        <v>0.58443861185322232</v>
      </c>
    </row>
    <row r="535" spans="1:8">
      <c r="A535" t="s">
        <v>75</v>
      </c>
      <c r="B535" s="1" t="s">
        <v>19</v>
      </c>
      <c r="C535" t="s">
        <v>20</v>
      </c>
      <c r="D535" s="2">
        <v>113622416</v>
      </c>
      <c r="E535" s="2">
        <v>20742862</v>
      </c>
      <c r="F535" s="2">
        <v>15260497</v>
      </c>
      <c r="G535" s="2">
        <f t="shared" si="16"/>
        <v>36003359</v>
      </c>
      <c r="H535">
        <f t="shared" si="17"/>
        <v>0.31686845138022762</v>
      </c>
    </row>
    <row r="536" spans="1:8">
      <c r="A536" t="s">
        <v>75</v>
      </c>
      <c r="B536" s="1" t="s">
        <v>21</v>
      </c>
      <c r="C536" t="s">
        <v>22</v>
      </c>
      <c r="D536" s="2">
        <v>231844860</v>
      </c>
      <c r="E536" s="2">
        <v>39303160</v>
      </c>
      <c r="F536" s="2">
        <v>19453467</v>
      </c>
      <c r="G536" s="2">
        <f t="shared" si="16"/>
        <v>58756627</v>
      </c>
      <c r="H536">
        <f t="shared" si="17"/>
        <v>0.25343079419573933</v>
      </c>
    </row>
    <row r="537" spans="1:8">
      <c r="A537" t="s">
        <v>75</v>
      </c>
      <c r="B537" s="1" t="s">
        <v>23</v>
      </c>
      <c r="C537" t="s">
        <v>24</v>
      </c>
      <c r="D537" s="2">
        <v>372862876</v>
      </c>
      <c r="E537" s="2">
        <v>33661297</v>
      </c>
      <c r="F537" s="2">
        <v>20195692</v>
      </c>
      <c r="G537" s="2">
        <f t="shared" si="16"/>
        <v>53856989</v>
      </c>
      <c r="H537">
        <f t="shared" si="17"/>
        <v>0.14444181082806432</v>
      </c>
    </row>
    <row r="538" spans="1:8">
      <c r="A538" t="s">
        <v>75</v>
      </c>
      <c r="B538" s="1" t="s">
        <v>25</v>
      </c>
      <c r="C538" t="s">
        <v>26</v>
      </c>
      <c r="D538" s="2">
        <v>273728886</v>
      </c>
      <c r="E538" s="2">
        <v>28206368</v>
      </c>
      <c r="F538" s="2">
        <v>21847137</v>
      </c>
      <c r="G538" s="2">
        <f t="shared" si="16"/>
        <v>50053505</v>
      </c>
      <c r="H538">
        <f t="shared" si="17"/>
        <v>0.18285795749009842</v>
      </c>
    </row>
    <row r="539" spans="1:8">
      <c r="A539" t="s">
        <v>75</v>
      </c>
      <c r="B539">
        <v>10000</v>
      </c>
      <c r="C539" t="s">
        <v>27</v>
      </c>
      <c r="D539" s="2">
        <v>247240364</v>
      </c>
      <c r="E539" s="2">
        <v>19758066</v>
      </c>
      <c r="F539" s="2">
        <v>14736757</v>
      </c>
      <c r="G539" s="2">
        <f t="shared" si="16"/>
        <v>34494823</v>
      </c>
      <c r="H539">
        <f t="shared" si="17"/>
        <v>0.13951938284640286</v>
      </c>
    </row>
    <row r="540" spans="1:8">
      <c r="A540" t="s">
        <v>75</v>
      </c>
      <c r="B540">
        <v>11000</v>
      </c>
      <c r="C540" t="s">
        <v>28</v>
      </c>
      <c r="D540" s="2">
        <v>739328771</v>
      </c>
      <c r="E540" s="2">
        <v>31680305</v>
      </c>
      <c r="F540" s="2">
        <v>27661561</v>
      </c>
      <c r="G540" s="2">
        <f t="shared" si="16"/>
        <v>59341866</v>
      </c>
      <c r="H540">
        <f t="shared" si="17"/>
        <v>8.0264516041673159E-2</v>
      </c>
    </row>
    <row r="541" spans="1:8">
      <c r="A541" t="s">
        <v>75</v>
      </c>
      <c r="B541">
        <v>12000</v>
      </c>
      <c r="C541" t="s">
        <v>29</v>
      </c>
      <c r="D541" s="2">
        <v>667475949</v>
      </c>
      <c r="E541" s="2">
        <v>35492060</v>
      </c>
      <c r="F541" s="2">
        <v>36340053</v>
      </c>
      <c r="G541" s="2">
        <f t="shared" si="16"/>
        <v>71832113</v>
      </c>
      <c r="H541">
        <f t="shared" si="17"/>
        <v>0.10761753005125882</v>
      </c>
    </row>
    <row r="542" spans="1:8">
      <c r="A542" t="s">
        <v>75</v>
      </c>
      <c r="B542">
        <v>13000</v>
      </c>
      <c r="C542" t="s">
        <v>30</v>
      </c>
      <c r="D542" s="2">
        <v>4927071851</v>
      </c>
      <c r="E542" s="2">
        <v>84671854</v>
      </c>
      <c r="F542" s="2">
        <v>119887135</v>
      </c>
      <c r="G542" s="2">
        <f t="shared" si="16"/>
        <v>204558989</v>
      </c>
      <c r="H542">
        <f t="shared" si="17"/>
        <v>4.1517354563945043E-2</v>
      </c>
    </row>
    <row r="543" spans="1:8">
      <c r="A543" t="s">
        <v>75</v>
      </c>
      <c r="B543">
        <v>14000</v>
      </c>
      <c r="C543" t="s">
        <v>31</v>
      </c>
      <c r="D543" s="2">
        <v>1066427299</v>
      </c>
      <c r="E543" s="2">
        <v>31084515</v>
      </c>
      <c r="F543" s="2">
        <v>30681877</v>
      </c>
      <c r="G543" s="2">
        <f t="shared" si="16"/>
        <v>61766392</v>
      </c>
      <c r="H543">
        <f t="shared" si="17"/>
        <v>5.7918989937634745E-2</v>
      </c>
    </row>
    <row r="544" spans="1:8">
      <c r="A544" t="s">
        <v>75</v>
      </c>
      <c r="B544">
        <v>15000</v>
      </c>
      <c r="C544" t="s">
        <v>32</v>
      </c>
      <c r="D544" s="2">
        <v>275382312</v>
      </c>
      <c r="E544" s="2">
        <v>98470888</v>
      </c>
      <c r="F544" s="2">
        <v>22608163</v>
      </c>
      <c r="G544" s="2">
        <f t="shared" si="16"/>
        <v>121079051</v>
      </c>
      <c r="H544">
        <f t="shared" si="17"/>
        <v>0.43967620912413574</v>
      </c>
    </row>
    <row r="545" spans="1:8">
      <c r="A545" t="s">
        <v>75</v>
      </c>
      <c r="B545">
        <v>16000</v>
      </c>
      <c r="C545" t="s">
        <v>33</v>
      </c>
      <c r="D545" s="2">
        <v>134820798</v>
      </c>
      <c r="E545" s="2">
        <v>26503446</v>
      </c>
      <c r="F545" s="2">
        <v>13289218</v>
      </c>
      <c r="G545" s="2">
        <f t="shared" si="16"/>
        <v>39792664</v>
      </c>
      <c r="H545">
        <f t="shared" si="17"/>
        <v>0.29515226575057063</v>
      </c>
    </row>
    <row r="546" spans="1:8">
      <c r="A546" t="s">
        <v>75</v>
      </c>
      <c r="B546">
        <v>17000</v>
      </c>
      <c r="C546" t="s">
        <v>34</v>
      </c>
      <c r="D546" s="2">
        <v>148698136</v>
      </c>
      <c r="E546" s="2">
        <v>25128090</v>
      </c>
      <c r="F546" s="2">
        <v>14696532</v>
      </c>
      <c r="G546" s="2">
        <f t="shared" si="16"/>
        <v>39824622</v>
      </c>
      <c r="H546">
        <f t="shared" si="17"/>
        <v>0.26782193154055406</v>
      </c>
    </row>
    <row r="547" spans="1:8">
      <c r="A547" t="s">
        <v>75</v>
      </c>
      <c r="B547">
        <v>18000</v>
      </c>
      <c r="C547" t="s">
        <v>35</v>
      </c>
      <c r="D547" s="2">
        <v>108563353</v>
      </c>
      <c r="E547" s="2">
        <v>38723773</v>
      </c>
      <c r="F547" s="2">
        <v>13059926</v>
      </c>
      <c r="G547" s="2">
        <f t="shared" si="16"/>
        <v>51783699</v>
      </c>
      <c r="H547">
        <f t="shared" si="17"/>
        <v>0.47699060105485136</v>
      </c>
    </row>
    <row r="548" spans="1:8">
      <c r="A548" t="s">
        <v>75</v>
      </c>
      <c r="B548">
        <v>19000</v>
      </c>
      <c r="C548" t="s">
        <v>36</v>
      </c>
      <c r="D548" s="2">
        <v>109233162</v>
      </c>
      <c r="E548" s="2">
        <v>37200066</v>
      </c>
      <c r="F548" s="2">
        <v>4832897</v>
      </c>
      <c r="G548" s="2">
        <f t="shared" si="16"/>
        <v>42032963</v>
      </c>
      <c r="H548">
        <f t="shared" si="17"/>
        <v>0.38480038690082047</v>
      </c>
    </row>
    <row r="549" spans="1:8">
      <c r="A549" t="s">
        <v>75</v>
      </c>
      <c r="B549">
        <v>20000</v>
      </c>
      <c r="C549" t="s">
        <v>37</v>
      </c>
      <c r="D549" s="2">
        <v>247333687</v>
      </c>
      <c r="E549" s="2">
        <v>33942760</v>
      </c>
      <c r="F549" s="2">
        <v>21148430</v>
      </c>
      <c r="G549" s="2">
        <f t="shared" si="16"/>
        <v>55091190</v>
      </c>
      <c r="H549">
        <f t="shared" si="17"/>
        <v>0.22274034187668096</v>
      </c>
    </row>
    <row r="550" spans="1:8">
      <c r="A550" t="s">
        <v>75</v>
      </c>
      <c r="B550">
        <v>21000</v>
      </c>
      <c r="C550" t="s">
        <v>38</v>
      </c>
      <c r="D550" s="2">
        <v>240346218</v>
      </c>
      <c r="E550" s="2">
        <v>34624410</v>
      </c>
      <c r="F550" s="2">
        <v>16348592</v>
      </c>
      <c r="G550" s="2">
        <f t="shared" si="16"/>
        <v>50973002</v>
      </c>
      <c r="H550">
        <f t="shared" si="17"/>
        <v>0.2120815647700352</v>
      </c>
    </row>
    <row r="551" spans="1:8">
      <c r="A551" t="s">
        <v>75</v>
      </c>
      <c r="B551">
        <v>22000</v>
      </c>
      <c r="C551" t="s">
        <v>39</v>
      </c>
      <c r="D551" s="2">
        <v>520279846</v>
      </c>
      <c r="E551" s="2">
        <v>42829023</v>
      </c>
      <c r="F551" s="2">
        <v>24943882</v>
      </c>
      <c r="G551" s="2">
        <f t="shared" si="16"/>
        <v>67772905</v>
      </c>
      <c r="H551">
        <f t="shared" si="17"/>
        <v>0.13026240689707594</v>
      </c>
    </row>
    <row r="552" spans="1:8">
      <c r="A552" t="s">
        <v>75</v>
      </c>
      <c r="B552">
        <v>23000</v>
      </c>
      <c r="C552" t="s">
        <v>40</v>
      </c>
      <c r="D552" s="2">
        <v>1228167913</v>
      </c>
      <c r="E552" s="2">
        <v>58268299</v>
      </c>
      <c r="F552" s="2">
        <v>35044149</v>
      </c>
      <c r="G552" s="2">
        <f t="shared" si="16"/>
        <v>93312448</v>
      </c>
      <c r="H552">
        <f t="shared" si="17"/>
        <v>7.5976946647359614E-2</v>
      </c>
    </row>
    <row r="553" spans="1:8">
      <c r="A553" t="s">
        <v>75</v>
      </c>
      <c r="B553">
        <v>24000</v>
      </c>
      <c r="C553" t="s">
        <v>41</v>
      </c>
      <c r="D553" s="2">
        <v>244894131</v>
      </c>
      <c r="E553" s="2">
        <v>34292034</v>
      </c>
      <c r="F553" s="2">
        <v>10343258</v>
      </c>
      <c r="G553" s="2">
        <f t="shared" si="16"/>
        <v>44635292</v>
      </c>
      <c r="H553">
        <f t="shared" si="17"/>
        <v>0.1822636247660831</v>
      </c>
    </row>
    <row r="554" spans="1:8">
      <c r="A554" t="s">
        <v>75</v>
      </c>
      <c r="B554">
        <v>25000</v>
      </c>
      <c r="C554" t="s">
        <v>42</v>
      </c>
      <c r="D554" s="2">
        <v>169101345</v>
      </c>
      <c r="E554" s="2">
        <v>17977138</v>
      </c>
      <c r="F554" s="2">
        <v>11209925</v>
      </c>
      <c r="G554" s="2">
        <f t="shared" si="16"/>
        <v>29187063</v>
      </c>
      <c r="H554">
        <f t="shared" si="17"/>
        <v>0.1726010103586107</v>
      </c>
    </row>
    <row r="555" spans="1:8">
      <c r="A555" t="s">
        <v>75</v>
      </c>
      <c r="B555">
        <v>26000</v>
      </c>
      <c r="C555" t="s">
        <v>43</v>
      </c>
      <c r="D555" s="2">
        <v>310625737</v>
      </c>
      <c r="E555" s="2">
        <v>23785207</v>
      </c>
      <c r="F555" s="2">
        <v>15537467</v>
      </c>
      <c r="G555" s="2">
        <f t="shared" si="16"/>
        <v>39322674</v>
      </c>
      <c r="H555">
        <f t="shared" si="17"/>
        <v>0.12659180910048029</v>
      </c>
    </row>
    <row r="556" spans="1:8">
      <c r="A556" t="s">
        <v>75</v>
      </c>
      <c r="B556">
        <v>27000</v>
      </c>
      <c r="C556" t="s">
        <v>44</v>
      </c>
      <c r="D556" s="2">
        <v>1199000581</v>
      </c>
      <c r="E556" s="2">
        <v>49441010</v>
      </c>
      <c r="F556" s="2">
        <v>56662320</v>
      </c>
      <c r="G556" s="2">
        <f t="shared" si="16"/>
        <v>106103330</v>
      </c>
      <c r="H556">
        <f t="shared" si="17"/>
        <v>8.8493143107159181E-2</v>
      </c>
    </row>
    <row r="557" spans="1:8">
      <c r="A557" t="s">
        <v>75</v>
      </c>
      <c r="B557">
        <v>28000</v>
      </c>
      <c r="C557" t="s">
        <v>45</v>
      </c>
      <c r="D557" s="2">
        <v>628209452</v>
      </c>
      <c r="E557" s="2">
        <v>75364938</v>
      </c>
      <c r="F557" s="2">
        <v>39701889</v>
      </c>
      <c r="G557" s="2">
        <f t="shared" si="16"/>
        <v>115066827</v>
      </c>
      <c r="H557">
        <f t="shared" si="17"/>
        <v>0.18316634147045593</v>
      </c>
    </row>
    <row r="558" spans="1:8">
      <c r="A558" t="s">
        <v>75</v>
      </c>
      <c r="B558">
        <v>29000</v>
      </c>
      <c r="C558" t="s">
        <v>46</v>
      </c>
      <c r="D558" s="2">
        <v>123580620</v>
      </c>
      <c r="E558" s="2">
        <v>22584499</v>
      </c>
      <c r="F558" s="2">
        <v>12522106</v>
      </c>
      <c r="G558" s="2">
        <f t="shared" si="16"/>
        <v>35106605</v>
      </c>
      <c r="H558">
        <f t="shared" si="17"/>
        <v>0.28407856345113014</v>
      </c>
    </row>
    <row r="559" spans="1:8">
      <c r="A559" t="s">
        <v>75</v>
      </c>
      <c r="B559">
        <v>30000</v>
      </c>
      <c r="C559" t="s">
        <v>47</v>
      </c>
      <c r="D559" s="2">
        <v>99384778</v>
      </c>
      <c r="E559" s="2">
        <v>29420025</v>
      </c>
      <c r="F559" s="2">
        <v>13118811</v>
      </c>
      <c r="G559" s="2">
        <f t="shared" si="16"/>
        <v>42538836</v>
      </c>
      <c r="H559">
        <f t="shared" si="17"/>
        <v>0.42802164331443193</v>
      </c>
    </row>
    <row r="560" spans="1:8">
      <c r="A560" t="s">
        <v>75</v>
      </c>
      <c r="B560">
        <v>31000</v>
      </c>
      <c r="C560" t="s">
        <v>48</v>
      </c>
      <c r="D560" s="2">
        <v>56901305</v>
      </c>
      <c r="E560" s="2">
        <v>23691445</v>
      </c>
      <c r="F560" s="2">
        <v>12278581</v>
      </c>
      <c r="G560" s="2">
        <f t="shared" si="16"/>
        <v>35970026</v>
      </c>
      <c r="H560">
        <f t="shared" si="17"/>
        <v>0.63214764582288574</v>
      </c>
    </row>
    <row r="561" spans="1:8">
      <c r="A561" t="s">
        <v>75</v>
      </c>
      <c r="B561">
        <v>32000</v>
      </c>
      <c r="C561" t="s">
        <v>49</v>
      </c>
      <c r="D561" s="2">
        <v>68423132</v>
      </c>
      <c r="E561" s="2">
        <v>39425183</v>
      </c>
      <c r="F561" s="2">
        <v>19292367</v>
      </c>
      <c r="G561" s="2">
        <f t="shared" si="16"/>
        <v>58717550</v>
      </c>
      <c r="H561">
        <f t="shared" si="17"/>
        <v>0.85815349697818566</v>
      </c>
    </row>
    <row r="562" spans="1:8">
      <c r="A562" t="s">
        <v>75</v>
      </c>
      <c r="B562">
        <v>33000</v>
      </c>
      <c r="C562" t="s">
        <v>50</v>
      </c>
      <c r="D562" s="2">
        <v>227828426</v>
      </c>
      <c r="E562" s="2">
        <v>31619364</v>
      </c>
      <c r="F562" s="2">
        <v>17593856</v>
      </c>
      <c r="G562" s="2">
        <f t="shared" si="16"/>
        <v>49213220</v>
      </c>
      <c r="H562">
        <f t="shared" si="17"/>
        <v>0.21601000746061425</v>
      </c>
    </row>
    <row r="563" spans="1:8">
      <c r="A563" t="s">
        <v>75</v>
      </c>
      <c r="B563">
        <v>34000</v>
      </c>
      <c r="C563" t="s">
        <v>51</v>
      </c>
      <c r="D563" s="2">
        <v>345778855</v>
      </c>
      <c r="E563" s="2">
        <v>42048399</v>
      </c>
      <c r="F563" s="2">
        <v>36230227</v>
      </c>
      <c r="G563" s="2">
        <f t="shared" si="16"/>
        <v>78278626</v>
      </c>
      <c r="H563">
        <f t="shared" si="17"/>
        <v>0.22638349589074785</v>
      </c>
    </row>
    <row r="564" spans="1:8">
      <c r="A564" t="s">
        <v>75</v>
      </c>
      <c r="B564">
        <v>35000</v>
      </c>
      <c r="C564" t="s">
        <v>52</v>
      </c>
      <c r="D564" s="2">
        <v>172975100</v>
      </c>
      <c r="E564" s="2">
        <v>42035233</v>
      </c>
      <c r="F564" s="2">
        <v>21677794</v>
      </c>
      <c r="G564" s="2">
        <f t="shared" si="16"/>
        <v>63713027</v>
      </c>
      <c r="H564">
        <f t="shared" si="17"/>
        <v>0.36833640795698341</v>
      </c>
    </row>
    <row r="565" spans="1:8">
      <c r="A565" t="s">
        <v>75</v>
      </c>
      <c r="B565">
        <v>36000</v>
      </c>
      <c r="C565" t="s">
        <v>53</v>
      </c>
      <c r="D565" s="2">
        <v>84919988</v>
      </c>
      <c r="E565" s="2">
        <v>31519683</v>
      </c>
      <c r="F565" s="2">
        <v>10354505</v>
      </c>
      <c r="G565" s="2">
        <f t="shared" si="16"/>
        <v>41874188</v>
      </c>
      <c r="H565">
        <f t="shared" si="17"/>
        <v>0.49310167118723569</v>
      </c>
    </row>
    <row r="566" spans="1:8">
      <c r="A566" t="s">
        <v>75</v>
      </c>
      <c r="B566">
        <v>37000</v>
      </c>
      <c r="C566" t="s">
        <v>54</v>
      </c>
      <c r="D566" s="2">
        <v>119973400</v>
      </c>
      <c r="E566" s="2">
        <v>17784538</v>
      </c>
      <c r="F566" s="2">
        <v>6355485</v>
      </c>
      <c r="G566" s="2">
        <f t="shared" si="16"/>
        <v>24140023</v>
      </c>
      <c r="H566">
        <f t="shared" si="17"/>
        <v>0.20121146020701255</v>
      </c>
    </row>
    <row r="567" spans="1:8">
      <c r="A567" t="s">
        <v>75</v>
      </c>
      <c r="B567">
        <v>38000</v>
      </c>
      <c r="C567" t="s">
        <v>55</v>
      </c>
      <c r="D567" s="2">
        <v>146295139</v>
      </c>
      <c r="E567" s="2">
        <v>35689980</v>
      </c>
      <c r="F567" s="2">
        <v>14251412</v>
      </c>
      <c r="G567" s="2">
        <f t="shared" si="16"/>
        <v>49941392</v>
      </c>
      <c r="H567">
        <f t="shared" si="17"/>
        <v>0.34137424073946843</v>
      </c>
    </row>
    <row r="568" spans="1:8">
      <c r="A568" t="s">
        <v>75</v>
      </c>
      <c r="B568">
        <v>39000</v>
      </c>
      <c r="C568" t="s">
        <v>56</v>
      </c>
      <c r="D568" s="2">
        <v>66801212</v>
      </c>
      <c r="E568" s="2">
        <v>28547016</v>
      </c>
      <c r="F568" s="2">
        <v>11884234</v>
      </c>
      <c r="G568" s="2">
        <f t="shared" si="16"/>
        <v>40431250</v>
      </c>
      <c r="H568">
        <f t="shared" si="17"/>
        <v>0.60524725210075525</v>
      </c>
    </row>
    <row r="569" spans="1:8">
      <c r="A569" t="s">
        <v>75</v>
      </c>
      <c r="B569">
        <v>40000</v>
      </c>
      <c r="C569" t="s">
        <v>57</v>
      </c>
      <c r="D569" s="2">
        <v>553161222</v>
      </c>
      <c r="E569" s="2">
        <v>49137902</v>
      </c>
      <c r="F569" s="2">
        <v>38673957</v>
      </c>
      <c r="G569" s="2">
        <f t="shared" si="16"/>
        <v>87811859</v>
      </c>
      <c r="H569">
        <f t="shared" si="17"/>
        <v>0.15874550765237844</v>
      </c>
    </row>
    <row r="570" spans="1:8">
      <c r="A570" t="s">
        <v>75</v>
      </c>
      <c r="B570">
        <v>41000</v>
      </c>
      <c r="C570" t="s">
        <v>58</v>
      </c>
      <c r="D570" s="2">
        <v>87777215</v>
      </c>
      <c r="E570" s="2">
        <v>31001270</v>
      </c>
      <c r="F570" s="2">
        <v>4937568</v>
      </c>
      <c r="G570" s="2">
        <f t="shared" si="16"/>
        <v>35938838</v>
      </c>
      <c r="H570">
        <f t="shared" si="17"/>
        <v>0.40943242503194022</v>
      </c>
    </row>
    <row r="571" spans="1:8">
      <c r="A571" t="s">
        <v>75</v>
      </c>
      <c r="B571">
        <v>42000</v>
      </c>
      <c r="C571" t="s">
        <v>59</v>
      </c>
      <c r="D571" s="2">
        <v>115663539</v>
      </c>
      <c r="E571" s="2">
        <v>59142760</v>
      </c>
      <c r="F571" s="2">
        <v>18193940</v>
      </c>
      <c r="G571" s="2">
        <f t="shared" si="16"/>
        <v>77336700</v>
      </c>
      <c r="H571">
        <f t="shared" si="17"/>
        <v>0.66863508300571717</v>
      </c>
    </row>
    <row r="572" spans="1:8">
      <c r="A572" t="s">
        <v>75</v>
      </c>
      <c r="B572">
        <v>43000</v>
      </c>
      <c r="C572" t="s">
        <v>60</v>
      </c>
      <c r="D572" s="2">
        <v>169668763</v>
      </c>
      <c r="E572" s="2">
        <v>50588684</v>
      </c>
      <c r="F572" s="2">
        <v>19968626</v>
      </c>
      <c r="G572" s="2">
        <f t="shared" si="16"/>
        <v>70557310</v>
      </c>
      <c r="H572">
        <f t="shared" si="17"/>
        <v>0.41585327052805826</v>
      </c>
    </row>
    <row r="573" spans="1:8">
      <c r="A573" t="s">
        <v>75</v>
      </c>
      <c r="B573">
        <v>44000</v>
      </c>
      <c r="C573" t="s">
        <v>61</v>
      </c>
      <c r="D573" s="2">
        <v>121190123</v>
      </c>
      <c r="E573" s="2">
        <v>50586113</v>
      </c>
      <c r="F573" s="2">
        <v>16001163</v>
      </c>
      <c r="G573" s="2">
        <f t="shared" si="16"/>
        <v>66587276</v>
      </c>
      <c r="H573">
        <f t="shared" si="17"/>
        <v>0.54944474311656566</v>
      </c>
    </row>
    <row r="574" spans="1:8">
      <c r="A574" t="s">
        <v>75</v>
      </c>
      <c r="B574">
        <v>45000</v>
      </c>
      <c r="C574" t="s">
        <v>62</v>
      </c>
      <c r="D574" s="2">
        <v>100480781</v>
      </c>
      <c r="E574" s="2">
        <v>41593155</v>
      </c>
      <c r="F574" s="2">
        <v>22122532</v>
      </c>
      <c r="G574" s="2">
        <f t="shared" si="16"/>
        <v>63715687</v>
      </c>
      <c r="H574">
        <f t="shared" si="17"/>
        <v>0.63410819826330767</v>
      </c>
    </row>
    <row r="575" spans="1:8">
      <c r="A575" t="s">
        <v>75</v>
      </c>
      <c r="B575">
        <v>46000</v>
      </c>
      <c r="C575" t="s">
        <v>63</v>
      </c>
      <c r="D575" s="2">
        <v>149738013</v>
      </c>
      <c r="E575" s="2">
        <v>90156490</v>
      </c>
      <c r="F575" s="2">
        <v>26496894</v>
      </c>
      <c r="G575" s="2">
        <f t="shared" si="16"/>
        <v>116653384</v>
      </c>
      <c r="H575">
        <f t="shared" si="17"/>
        <v>0.77904989964038052</v>
      </c>
    </row>
    <row r="576" spans="1:8">
      <c r="A576" t="s">
        <v>75</v>
      </c>
      <c r="B576">
        <v>47000</v>
      </c>
      <c r="C576" t="s">
        <v>64</v>
      </c>
      <c r="D576" s="2">
        <v>104772411</v>
      </c>
      <c r="E576" s="2">
        <v>104207456</v>
      </c>
      <c r="F576" s="2">
        <v>11845310</v>
      </c>
      <c r="G576" s="2">
        <f t="shared" si="16"/>
        <v>116052766</v>
      </c>
      <c r="H576">
        <f t="shared" si="17"/>
        <v>1.1076653184968703</v>
      </c>
    </row>
    <row r="577" spans="1:8">
      <c r="A577" t="s">
        <v>76</v>
      </c>
      <c r="B577" s="1" t="s">
        <v>7</v>
      </c>
      <c r="C577" t="s">
        <v>8</v>
      </c>
      <c r="D577" s="2">
        <v>17137359915</v>
      </c>
      <c r="E577" s="2">
        <v>2324333690</v>
      </c>
      <c r="F577" s="2">
        <v>1185658337</v>
      </c>
      <c r="G577" s="2">
        <f t="shared" si="16"/>
        <v>3509992027</v>
      </c>
      <c r="H577">
        <f t="shared" si="17"/>
        <v>0.20481521333561839</v>
      </c>
    </row>
    <row r="578" spans="1:8">
      <c r="A578" t="s">
        <v>76</v>
      </c>
      <c r="B578" s="1" t="s">
        <v>9</v>
      </c>
      <c r="C578" t="s">
        <v>10</v>
      </c>
      <c r="D578" s="2">
        <v>550878607</v>
      </c>
      <c r="E578" s="2">
        <v>214724061</v>
      </c>
      <c r="F578" s="2">
        <v>69047383</v>
      </c>
      <c r="G578" s="2">
        <f t="shared" si="16"/>
        <v>283771444</v>
      </c>
      <c r="H578">
        <f t="shared" si="17"/>
        <v>0.51512518437660082</v>
      </c>
    </row>
    <row r="579" spans="1:8">
      <c r="A579" t="s">
        <v>76</v>
      </c>
      <c r="B579" s="1" t="s">
        <v>11</v>
      </c>
      <c r="C579" t="s">
        <v>12</v>
      </c>
      <c r="D579" s="2">
        <v>137152548</v>
      </c>
      <c r="E579" s="2">
        <v>51675797</v>
      </c>
      <c r="F579" s="2">
        <v>14844269</v>
      </c>
      <c r="G579" s="2">
        <f t="shared" ref="G579:G642" si="18">E579+F579</f>
        <v>66520066</v>
      </c>
      <c r="H579">
        <f t="shared" ref="H579:H642" si="19">G579/D579</f>
        <v>0.48500787604762546</v>
      </c>
    </row>
    <row r="580" spans="1:8">
      <c r="A580" t="s">
        <v>76</v>
      </c>
      <c r="B580" s="1" t="s">
        <v>13</v>
      </c>
      <c r="C580" t="s">
        <v>14</v>
      </c>
      <c r="D580" s="2">
        <v>124105114</v>
      </c>
      <c r="E580" s="2">
        <v>44312331</v>
      </c>
      <c r="F580" s="2">
        <v>19987871</v>
      </c>
      <c r="G580" s="2">
        <f t="shared" si="18"/>
        <v>64300202</v>
      </c>
      <c r="H580">
        <f t="shared" si="19"/>
        <v>0.51811081693216932</v>
      </c>
    </row>
    <row r="581" spans="1:8">
      <c r="A581" t="s">
        <v>76</v>
      </c>
      <c r="B581" s="1" t="s">
        <v>15</v>
      </c>
      <c r="C581" t="s">
        <v>16</v>
      </c>
      <c r="D581" s="2">
        <v>251974669</v>
      </c>
      <c r="E581" s="2">
        <v>35474134</v>
      </c>
      <c r="F581" s="2">
        <v>13053408</v>
      </c>
      <c r="G581" s="2">
        <f t="shared" si="18"/>
        <v>48527542</v>
      </c>
      <c r="H581">
        <f t="shared" si="19"/>
        <v>0.19258897012381829</v>
      </c>
    </row>
    <row r="582" spans="1:8">
      <c r="A582" t="s">
        <v>76</v>
      </c>
      <c r="B582" s="1" t="s">
        <v>17</v>
      </c>
      <c r="C582" t="s">
        <v>18</v>
      </c>
      <c r="D582" s="2">
        <v>99872402</v>
      </c>
      <c r="E582" s="2">
        <v>48027253</v>
      </c>
      <c r="F582" s="2">
        <v>22428155</v>
      </c>
      <c r="G582" s="2">
        <f t="shared" si="18"/>
        <v>70455408</v>
      </c>
      <c r="H582">
        <f t="shared" si="19"/>
        <v>0.70545422548263137</v>
      </c>
    </row>
    <row r="583" spans="1:8">
      <c r="A583" t="s">
        <v>76</v>
      </c>
      <c r="B583" s="1" t="s">
        <v>19</v>
      </c>
      <c r="C583" t="s">
        <v>20</v>
      </c>
      <c r="D583" s="2">
        <v>110870657</v>
      </c>
      <c r="E583" s="2">
        <v>25433801</v>
      </c>
      <c r="F583" s="2">
        <v>18689518</v>
      </c>
      <c r="G583" s="2">
        <f t="shared" si="18"/>
        <v>44123319</v>
      </c>
      <c r="H583">
        <f t="shared" si="19"/>
        <v>0.39797111511659933</v>
      </c>
    </row>
    <row r="584" spans="1:8">
      <c r="A584" t="s">
        <v>76</v>
      </c>
      <c r="B584" s="1" t="s">
        <v>21</v>
      </c>
      <c r="C584" t="s">
        <v>22</v>
      </c>
      <c r="D584" s="2">
        <v>222720067</v>
      </c>
      <c r="E584" s="2">
        <v>48358587</v>
      </c>
      <c r="F584" s="2">
        <v>22277730</v>
      </c>
      <c r="G584" s="2">
        <f t="shared" si="18"/>
        <v>70636317</v>
      </c>
      <c r="H584">
        <f t="shared" si="19"/>
        <v>0.3171529083636635</v>
      </c>
    </row>
    <row r="585" spans="1:8">
      <c r="A585" t="s">
        <v>76</v>
      </c>
      <c r="B585" s="1" t="s">
        <v>23</v>
      </c>
      <c r="C585" t="s">
        <v>24</v>
      </c>
      <c r="D585" s="2">
        <v>353883640</v>
      </c>
      <c r="E585" s="2">
        <v>37946784</v>
      </c>
      <c r="F585" s="2">
        <v>26815198</v>
      </c>
      <c r="G585" s="2">
        <f t="shared" si="18"/>
        <v>64761982</v>
      </c>
      <c r="H585">
        <f t="shared" si="19"/>
        <v>0.18300360536587676</v>
      </c>
    </row>
    <row r="586" spans="1:8">
      <c r="A586" t="s">
        <v>76</v>
      </c>
      <c r="B586" s="1" t="s">
        <v>25</v>
      </c>
      <c r="C586" t="s">
        <v>26</v>
      </c>
      <c r="D586" s="2">
        <v>250076234</v>
      </c>
      <c r="E586" s="2">
        <v>34335088</v>
      </c>
      <c r="F586" s="2">
        <v>24629058</v>
      </c>
      <c r="G586" s="2">
        <f t="shared" si="18"/>
        <v>58964146</v>
      </c>
      <c r="H586">
        <f t="shared" si="19"/>
        <v>0.2357846847613676</v>
      </c>
    </row>
    <row r="587" spans="1:8">
      <c r="A587" t="s">
        <v>76</v>
      </c>
      <c r="B587">
        <v>10000</v>
      </c>
      <c r="C587" t="s">
        <v>27</v>
      </c>
      <c r="D587" s="2">
        <v>228086352</v>
      </c>
      <c r="E587" s="2">
        <v>26846095</v>
      </c>
      <c r="F587" s="2">
        <v>15830890</v>
      </c>
      <c r="G587" s="2">
        <f t="shared" si="18"/>
        <v>42676985</v>
      </c>
      <c r="H587">
        <f t="shared" si="19"/>
        <v>0.18710889374038478</v>
      </c>
    </row>
    <row r="588" spans="1:8">
      <c r="A588" t="s">
        <v>76</v>
      </c>
      <c r="B588">
        <v>11000</v>
      </c>
      <c r="C588" t="s">
        <v>28</v>
      </c>
      <c r="D588" s="2">
        <v>681714603</v>
      </c>
      <c r="E588" s="2">
        <v>33231266</v>
      </c>
      <c r="F588" s="2">
        <v>27095951</v>
      </c>
      <c r="G588" s="2">
        <f t="shared" si="18"/>
        <v>60327217</v>
      </c>
      <c r="H588">
        <f t="shared" si="19"/>
        <v>8.8493361788818836E-2</v>
      </c>
    </row>
    <row r="589" spans="1:8">
      <c r="A589" t="s">
        <v>76</v>
      </c>
      <c r="B589">
        <v>12000</v>
      </c>
      <c r="C589" t="s">
        <v>29</v>
      </c>
      <c r="D589" s="2">
        <v>635887242</v>
      </c>
      <c r="E589" s="2">
        <v>40013501</v>
      </c>
      <c r="F589" s="2">
        <v>38288970</v>
      </c>
      <c r="G589" s="2">
        <f t="shared" si="18"/>
        <v>78302471</v>
      </c>
      <c r="H589">
        <f t="shared" si="19"/>
        <v>0.12313892436923589</v>
      </c>
    </row>
    <row r="590" spans="1:8">
      <c r="A590" t="s">
        <v>76</v>
      </c>
      <c r="B590">
        <v>13000</v>
      </c>
      <c r="C590" t="s">
        <v>30</v>
      </c>
      <c r="D590" s="2">
        <v>4602717816</v>
      </c>
      <c r="E590" s="2">
        <v>93640813</v>
      </c>
      <c r="F590" s="2">
        <v>129228789</v>
      </c>
      <c r="G590" s="2">
        <f t="shared" si="18"/>
        <v>222869602</v>
      </c>
      <c r="H590">
        <f t="shared" si="19"/>
        <v>4.8421304739834171E-2</v>
      </c>
    </row>
    <row r="591" spans="1:8">
      <c r="A591" t="s">
        <v>76</v>
      </c>
      <c r="B591">
        <v>14000</v>
      </c>
      <c r="C591" t="s">
        <v>31</v>
      </c>
      <c r="D591" s="2">
        <v>999746917</v>
      </c>
      <c r="E591" s="2">
        <v>35761836</v>
      </c>
      <c r="F591" s="2">
        <v>26369069</v>
      </c>
      <c r="G591" s="2">
        <f t="shared" si="18"/>
        <v>62130905</v>
      </c>
      <c r="H591">
        <f t="shared" si="19"/>
        <v>6.2146633256384427E-2</v>
      </c>
    </row>
    <row r="592" spans="1:8">
      <c r="A592" t="s">
        <v>76</v>
      </c>
      <c r="B592">
        <v>15000</v>
      </c>
      <c r="C592" t="s">
        <v>32</v>
      </c>
      <c r="D592" s="2">
        <v>260229676</v>
      </c>
      <c r="E592" s="2">
        <v>108393311</v>
      </c>
      <c r="F592" s="2">
        <v>28586206</v>
      </c>
      <c r="G592" s="2">
        <f t="shared" si="18"/>
        <v>136979517</v>
      </c>
      <c r="H592">
        <f t="shared" si="19"/>
        <v>0.52637930886867801</v>
      </c>
    </row>
    <row r="593" spans="1:8">
      <c r="A593" t="s">
        <v>76</v>
      </c>
      <c r="B593">
        <v>16000</v>
      </c>
      <c r="C593" t="s">
        <v>33</v>
      </c>
      <c r="D593" s="2">
        <v>126824103</v>
      </c>
      <c r="E593" s="2">
        <v>28702078</v>
      </c>
      <c r="F593" s="2">
        <v>13288742</v>
      </c>
      <c r="G593" s="2">
        <f t="shared" si="18"/>
        <v>41990820</v>
      </c>
      <c r="H593">
        <f t="shared" si="19"/>
        <v>0.33109494967214553</v>
      </c>
    </row>
    <row r="594" spans="1:8">
      <c r="A594" t="s">
        <v>76</v>
      </c>
      <c r="B594">
        <v>17000</v>
      </c>
      <c r="C594" t="s">
        <v>34</v>
      </c>
      <c r="D594" s="2">
        <v>132178984</v>
      </c>
      <c r="E594" s="2">
        <v>31418106</v>
      </c>
      <c r="F594" s="2">
        <v>17142927</v>
      </c>
      <c r="G594" s="2">
        <f t="shared" si="18"/>
        <v>48561033</v>
      </c>
      <c r="H594">
        <f t="shared" si="19"/>
        <v>0.3673884571544293</v>
      </c>
    </row>
    <row r="595" spans="1:8">
      <c r="A595" t="s">
        <v>76</v>
      </c>
      <c r="B595">
        <v>18000</v>
      </c>
      <c r="C595" t="s">
        <v>35</v>
      </c>
      <c r="D595" s="2">
        <v>102624354</v>
      </c>
      <c r="E595" s="2">
        <v>44543747</v>
      </c>
      <c r="F595" s="2">
        <v>14199436</v>
      </c>
      <c r="G595" s="2">
        <f t="shared" si="18"/>
        <v>58743183</v>
      </c>
      <c r="H595">
        <f t="shared" si="19"/>
        <v>0.57240977127125203</v>
      </c>
    </row>
    <row r="596" spans="1:8">
      <c r="A596" t="s">
        <v>76</v>
      </c>
      <c r="B596">
        <v>19000</v>
      </c>
      <c r="C596" t="s">
        <v>36</v>
      </c>
      <c r="D596" s="2">
        <v>104761670</v>
      </c>
      <c r="E596" s="2">
        <v>41887660</v>
      </c>
      <c r="F596" s="2">
        <v>5219843</v>
      </c>
      <c r="G596" s="2">
        <f t="shared" si="18"/>
        <v>47107503</v>
      </c>
      <c r="H596">
        <f t="shared" si="19"/>
        <v>0.44966353629146999</v>
      </c>
    </row>
    <row r="597" spans="1:8">
      <c r="A597" t="s">
        <v>76</v>
      </c>
      <c r="B597">
        <v>20000</v>
      </c>
      <c r="C597" t="s">
        <v>37</v>
      </c>
      <c r="D597" s="2">
        <v>235752107</v>
      </c>
      <c r="E597" s="2">
        <v>40494471</v>
      </c>
      <c r="F597" s="2">
        <v>22386188</v>
      </c>
      <c r="G597" s="2">
        <f t="shared" si="18"/>
        <v>62880659</v>
      </c>
      <c r="H597">
        <f t="shared" si="19"/>
        <v>0.26672363526320469</v>
      </c>
    </row>
    <row r="598" spans="1:8">
      <c r="A598" t="s">
        <v>76</v>
      </c>
      <c r="B598">
        <v>21000</v>
      </c>
      <c r="C598" t="s">
        <v>38</v>
      </c>
      <c r="D598" s="2">
        <v>223025413</v>
      </c>
      <c r="E598" s="2">
        <v>36943605</v>
      </c>
      <c r="F598" s="2">
        <v>17344396</v>
      </c>
      <c r="G598" s="2">
        <f t="shared" si="18"/>
        <v>54288001</v>
      </c>
      <c r="H598">
        <f t="shared" si="19"/>
        <v>0.24341621104855884</v>
      </c>
    </row>
    <row r="599" spans="1:8">
      <c r="A599" t="s">
        <v>76</v>
      </c>
      <c r="B599">
        <v>22000</v>
      </c>
      <c r="C599" t="s">
        <v>39</v>
      </c>
      <c r="D599" s="2">
        <v>487120396</v>
      </c>
      <c r="E599" s="2">
        <v>49434561</v>
      </c>
      <c r="F599" s="2">
        <v>24631118</v>
      </c>
      <c r="G599" s="2">
        <f t="shared" si="18"/>
        <v>74065679</v>
      </c>
      <c r="H599">
        <f t="shared" si="19"/>
        <v>0.15204799390087537</v>
      </c>
    </row>
    <row r="600" spans="1:8">
      <c r="A600" t="s">
        <v>76</v>
      </c>
      <c r="B600">
        <v>23000</v>
      </c>
      <c r="C600" t="s">
        <v>40</v>
      </c>
      <c r="D600" s="2">
        <v>1088655335</v>
      </c>
      <c r="E600" s="2">
        <v>61613556</v>
      </c>
      <c r="F600" s="2">
        <v>35796250</v>
      </c>
      <c r="G600" s="2">
        <f t="shared" si="18"/>
        <v>97409806</v>
      </c>
      <c r="H600">
        <f t="shared" si="19"/>
        <v>8.9477176906499978E-2</v>
      </c>
    </row>
    <row r="601" spans="1:8">
      <c r="A601" t="s">
        <v>76</v>
      </c>
      <c r="B601">
        <v>24000</v>
      </c>
      <c r="C601" t="s">
        <v>41</v>
      </c>
      <c r="D601" s="2">
        <v>227884058</v>
      </c>
      <c r="E601" s="2">
        <v>35559596</v>
      </c>
      <c r="F601" s="2">
        <v>10733755</v>
      </c>
      <c r="G601" s="2">
        <f t="shared" si="18"/>
        <v>46293351</v>
      </c>
      <c r="H601">
        <f t="shared" si="19"/>
        <v>0.20314431560631591</v>
      </c>
    </row>
    <row r="602" spans="1:8">
      <c r="A602" t="s">
        <v>76</v>
      </c>
      <c r="B602">
        <v>25000</v>
      </c>
      <c r="C602" t="s">
        <v>42</v>
      </c>
      <c r="D602" s="2">
        <v>156004089</v>
      </c>
      <c r="E602" s="2">
        <v>22899676</v>
      </c>
      <c r="F602" s="2">
        <v>12238383</v>
      </c>
      <c r="G602" s="2">
        <f t="shared" si="18"/>
        <v>35138059</v>
      </c>
      <c r="H602">
        <f t="shared" si="19"/>
        <v>0.22523806411253747</v>
      </c>
    </row>
    <row r="603" spans="1:8">
      <c r="A603" t="s">
        <v>76</v>
      </c>
      <c r="B603">
        <v>26000</v>
      </c>
      <c r="C603" t="s">
        <v>43</v>
      </c>
      <c r="D603" s="2">
        <v>299894736</v>
      </c>
      <c r="E603" s="2">
        <v>24883137</v>
      </c>
      <c r="F603" s="2">
        <v>15925564</v>
      </c>
      <c r="G603" s="2">
        <f t="shared" si="18"/>
        <v>40808701</v>
      </c>
      <c r="H603">
        <f t="shared" si="19"/>
        <v>0.13607674994335345</v>
      </c>
    </row>
    <row r="604" spans="1:8">
      <c r="A604" t="s">
        <v>76</v>
      </c>
      <c r="B604">
        <v>27000</v>
      </c>
      <c r="C604" t="s">
        <v>44</v>
      </c>
      <c r="D604" s="2">
        <v>1113377482</v>
      </c>
      <c r="E604" s="2">
        <v>55952785</v>
      </c>
      <c r="F604" s="2">
        <v>56410614</v>
      </c>
      <c r="G604" s="2">
        <f t="shared" si="18"/>
        <v>112363399</v>
      </c>
      <c r="H604">
        <f t="shared" si="19"/>
        <v>0.10092120670354998</v>
      </c>
    </row>
    <row r="605" spans="1:8">
      <c r="A605" t="s">
        <v>76</v>
      </c>
      <c r="B605">
        <v>28000</v>
      </c>
      <c r="C605" t="s">
        <v>45</v>
      </c>
      <c r="D605" s="2">
        <v>573396630</v>
      </c>
      <c r="E605" s="2">
        <v>73663569</v>
      </c>
      <c r="F605" s="2">
        <v>45193977</v>
      </c>
      <c r="G605" s="2">
        <f t="shared" si="18"/>
        <v>118857546</v>
      </c>
      <c r="H605">
        <f t="shared" si="19"/>
        <v>0.20728678855332652</v>
      </c>
    </row>
    <row r="606" spans="1:8">
      <c r="A606" t="s">
        <v>76</v>
      </c>
      <c r="B606">
        <v>29000</v>
      </c>
      <c r="C606" t="s">
        <v>46</v>
      </c>
      <c r="D606" s="2">
        <v>118164697</v>
      </c>
      <c r="E606" s="2">
        <v>26274395</v>
      </c>
      <c r="F606" s="2">
        <v>13723928</v>
      </c>
      <c r="G606" s="2">
        <f t="shared" si="18"/>
        <v>39998323</v>
      </c>
      <c r="H606">
        <f t="shared" si="19"/>
        <v>0.33849638695388012</v>
      </c>
    </row>
    <row r="607" spans="1:8">
      <c r="A607" t="s">
        <v>76</v>
      </c>
      <c r="B607">
        <v>30000</v>
      </c>
      <c r="C607" t="s">
        <v>47</v>
      </c>
      <c r="D607" s="2">
        <v>88355890</v>
      </c>
      <c r="E607" s="2">
        <v>32913278</v>
      </c>
      <c r="F607" s="2">
        <v>15094508</v>
      </c>
      <c r="G607" s="2">
        <f t="shared" si="18"/>
        <v>48007786</v>
      </c>
      <c r="H607">
        <f t="shared" si="19"/>
        <v>0.54334562189345836</v>
      </c>
    </row>
    <row r="608" spans="1:8">
      <c r="A608" t="s">
        <v>76</v>
      </c>
      <c r="B608">
        <v>31000</v>
      </c>
      <c r="C608" t="s">
        <v>48</v>
      </c>
      <c r="D608" s="2">
        <v>55872206</v>
      </c>
      <c r="E608" s="2">
        <v>22381877</v>
      </c>
      <c r="F608" s="2">
        <v>14402859</v>
      </c>
      <c r="G608" s="2">
        <f t="shared" si="18"/>
        <v>36784736</v>
      </c>
      <c r="H608">
        <f t="shared" si="19"/>
        <v>0.65837271576497269</v>
      </c>
    </row>
    <row r="609" spans="1:8">
      <c r="A609" t="s">
        <v>76</v>
      </c>
      <c r="B609">
        <v>32000</v>
      </c>
      <c r="C609" t="s">
        <v>49</v>
      </c>
      <c r="D609" s="2">
        <v>67274653</v>
      </c>
      <c r="E609" s="2">
        <v>46895455</v>
      </c>
      <c r="F609" s="2">
        <v>22086332</v>
      </c>
      <c r="G609" s="2">
        <f t="shared" si="18"/>
        <v>68981787</v>
      </c>
      <c r="H609">
        <f t="shared" si="19"/>
        <v>1.0253755898228119</v>
      </c>
    </row>
    <row r="610" spans="1:8">
      <c r="A610" t="s">
        <v>76</v>
      </c>
      <c r="B610">
        <v>33000</v>
      </c>
      <c r="C610" t="s">
        <v>50</v>
      </c>
      <c r="D610" s="2">
        <v>225030186</v>
      </c>
      <c r="E610" s="2">
        <v>31612010</v>
      </c>
      <c r="F610" s="2">
        <v>21531206</v>
      </c>
      <c r="G610" s="2">
        <f t="shared" si="18"/>
        <v>53143216</v>
      </c>
      <c r="H610">
        <f t="shared" si="19"/>
        <v>0.23616038783347937</v>
      </c>
    </row>
    <row r="611" spans="1:8">
      <c r="A611" t="s">
        <v>76</v>
      </c>
      <c r="B611">
        <v>34000</v>
      </c>
      <c r="C611" t="s">
        <v>51</v>
      </c>
      <c r="D611" s="2">
        <v>320810607</v>
      </c>
      <c r="E611" s="2">
        <v>49286665</v>
      </c>
      <c r="F611" s="2">
        <v>37382692</v>
      </c>
      <c r="G611" s="2">
        <f t="shared" si="18"/>
        <v>86669357</v>
      </c>
      <c r="H611">
        <f t="shared" si="19"/>
        <v>0.27015739227101054</v>
      </c>
    </row>
    <row r="612" spans="1:8">
      <c r="A612" t="s">
        <v>76</v>
      </c>
      <c r="B612">
        <v>35000</v>
      </c>
      <c r="C612" t="s">
        <v>52</v>
      </c>
      <c r="D612" s="2">
        <v>165523348</v>
      </c>
      <c r="E612" s="2">
        <v>46591061</v>
      </c>
      <c r="F612" s="2">
        <v>26599000</v>
      </c>
      <c r="G612" s="2">
        <f t="shared" si="18"/>
        <v>73190061</v>
      </c>
      <c r="H612">
        <f t="shared" si="19"/>
        <v>0.44217363824709488</v>
      </c>
    </row>
    <row r="613" spans="1:8">
      <c r="A613" t="s">
        <v>76</v>
      </c>
      <c r="B613">
        <v>36000</v>
      </c>
      <c r="C613" t="s">
        <v>53</v>
      </c>
      <c r="D613" s="2">
        <v>85162374</v>
      </c>
      <c r="E613" s="2">
        <v>36303076</v>
      </c>
      <c r="F613" s="2">
        <v>12831673</v>
      </c>
      <c r="G613" s="2">
        <f t="shared" si="18"/>
        <v>49134749</v>
      </c>
      <c r="H613">
        <f t="shared" si="19"/>
        <v>0.57695372606686612</v>
      </c>
    </row>
    <row r="614" spans="1:8">
      <c r="A614" t="s">
        <v>76</v>
      </c>
      <c r="B614">
        <v>37000</v>
      </c>
      <c r="C614" t="s">
        <v>54</v>
      </c>
      <c r="D614" s="2">
        <v>111691503</v>
      </c>
      <c r="E614" s="2">
        <v>17949376</v>
      </c>
      <c r="F614" s="2">
        <v>8941807</v>
      </c>
      <c r="G614" s="2">
        <f t="shared" si="18"/>
        <v>26891183</v>
      </c>
      <c r="H614">
        <f t="shared" si="19"/>
        <v>0.24076301489111485</v>
      </c>
    </row>
    <row r="615" spans="1:8">
      <c r="A615" t="s">
        <v>76</v>
      </c>
      <c r="B615">
        <v>38000</v>
      </c>
      <c r="C615" t="s">
        <v>55</v>
      </c>
      <c r="D615" s="2">
        <v>137211184</v>
      </c>
      <c r="E615" s="2">
        <v>44301583</v>
      </c>
      <c r="F615" s="2">
        <v>15493799</v>
      </c>
      <c r="G615" s="2">
        <f t="shared" si="18"/>
        <v>59795382</v>
      </c>
      <c r="H615">
        <f t="shared" si="19"/>
        <v>0.43579087547265827</v>
      </c>
    </row>
    <row r="616" spans="1:8">
      <c r="A616" t="s">
        <v>76</v>
      </c>
      <c r="B616">
        <v>39000</v>
      </c>
      <c r="C616" t="s">
        <v>56</v>
      </c>
      <c r="D616" s="2">
        <v>63877138</v>
      </c>
      <c r="E616" s="2">
        <v>34588046</v>
      </c>
      <c r="F616" s="2">
        <v>13751212</v>
      </c>
      <c r="G616" s="2">
        <f t="shared" si="18"/>
        <v>48339258</v>
      </c>
      <c r="H616">
        <f t="shared" si="19"/>
        <v>0.75675366044107983</v>
      </c>
    </row>
    <row r="617" spans="1:8">
      <c r="A617" t="s">
        <v>76</v>
      </c>
      <c r="B617">
        <v>40000</v>
      </c>
      <c r="C617" t="s">
        <v>57</v>
      </c>
      <c r="D617" s="2">
        <v>510135955</v>
      </c>
      <c r="E617" s="2">
        <v>57318268</v>
      </c>
      <c r="F617" s="2">
        <v>40645363</v>
      </c>
      <c r="G617" s="2">
        <f t="shared" si="18"/>
        <v>97963631</v>
      </c>
      <c r="H617">
        <f t="shared" si="19"/>
        <v>0.19203435876226368</v>
      </c>
    </row>
    <row r="618" spans="1:8">
      <c r="A618" t="s">
        <v>76</v>
      </c>
      <c r="B618">
        <v>41000</v>
      </c>
      <c r="C618" t="s">
        <v>58</v>
      </c>
      <c r="D618" s="2">
        <v>84636034</v>
      </c>
      <c r="E618" s="2">
        <v>37037326</v>
      </c>
      <c r="F618" s="2">
        <v>5956577</v>
      </c>
      <c r="G618" s="2">
        <f t="shared" si="18"/>
        <v>42993903</v>
      </c>
      <c r="H618">
        <f t="shared" si="19"/>
        <v>0.50798579479752093</v>
      </c>
    </row>
    <row r="619" spans="1:8">
      <c r="A619" t="s">
        <v>76</v>
      </c>
      <c r="B619">
        <v>42000</v>
      </c>
      <c r="C619" t="s">
        <v>59</v>
      </c>
      <c r="D619" s="2">
        <v>109424551</v>
      </c>
      <c r="E619" s="2">
        <v>70215511</v>
      </c>
      <c r="F619" s="2">
        <v>22522222</v>
      </c>
      <c r="G619" s="2">
        <f t="shared" si="18"/>
        <v>92737733</v>
      </c>
      <c r="H619">
        <f t="shared" si="19"/>
        <v>0.84750389334473941</v>
      </c>
    </row>
    <row r="620" spans="1:8">
      <c r="A620" t="s">
        <v>76</v>
      </c>
      <c r="B620">
        <v>43000</v>
      </c>
      <c r="C620" t="s">
        <v>60</v>
      </c>
      <c r="D620" s="2">
        <v>160825431</v>
      </c>
      <c r="E620" s="2">
        <v>52977000</v>
      </c>
      <c r="F620" s="2">
        <v>20474544</v>
      </c>
      <c r="G620" s="2">
        <f t="shared" si="18"/>
        <v>73451544</v>
      </c>
      <c r="H620">
        <f t="shared" si="19"/>
        <v>0.45671597795997826</v>
      </c>
    </row>
    <row r="621" spans="1:8">
      <c r="A621" t="s">
        <v>76</v>
      </c>
      <c r="B621">
        <v>44000</v>
      </c>
      <c r="C621" t="s">
        <v>61</v>
      </c>
      <c r="D621" s="2">
        <v>114017713</v>
      </c>
      <c r="E621" s="2">
        <v>49600205</v>
      </c>
      <c r="F621" s="2">
        <v>15972287</v>
      </c>
      <c r="G621" s="2">
        <f t="shared" si="18"/>
        <v>65572492</v>
      </c>
      <c r="H621">
        <f t="shared" si="19"/>
        <v>0.57510793958829887</v>
      </c>
    </row>
    <row r="622" spans="1:8">
      <c r="A622" t="s">
        <v>76</v>
      </c>
      <c r="B622">
        <v>45000</v>
      </c>
      <c r="C622" t="s">
        <v>62</v>
      </c>
      <c r="D622" s="2">
        <v>96661277</v>
      </c>
      <c r="E622" s="2">
        <v>43612668</v>
      </c>
      <c r="F622" s="2">
        <v>25923806</v>
      </c>
      <c r="G622" s="2">
        <f t="shared" si="18"/>
        <v>69536474</v>
      </c>
      <c r="H622">
        <f t="shared" si="19"/>
        <v>0.71938294380282186</v>
      </c>
    </row>
    <row r="623" spans="1:8">
      <c r="A623" t="s">
        <v>76</v>
      </c>
      <c r="B623">
        <v>46000</v>
      </c>
      <c r="C623" t="s">
        <v>63</v>
      </c>
      <c r="D623" s="2">
        <v>145444461</v>
      </c>
      <c r="E623" s="2">
        <v>93390791</v>
      </c>
      <c r="F623" s="2">
        <v>49479549</v>
      </c>
      <c r="G623" s="2">
        <f t="shared" si="18"/>
        <v>142870340</v>
      </c>
      <c r="H623">
        <f t="shared" si="19"/>
        <v>0.98230169109018184</v>
      </c>
    </row>
    <row r="624" spans="1:8">
      <c r="A624" t="s">
        <v>76</v>
      </c>
      <c r="B624">
        <v>47000</v>
      </c>
      <c r="C624" t="s">
        <v>64</v>
      </c>
      <c r="D624" s="2">
        <v>95824806</v>
      </c>
      <c r="E624" s="2">
        <v>104913894</v>
      </c>
      <c r="F624" s="2">
        <v>15161315</v>
      </c>
      <c r="G624" s="2">
        <f t="shared" si="18"/>
        <v>120075209</v>
      </c>
      <c r="H624">
        <f t="shared" si="19"/>
        <v>1.2530702018848856</v>
      </c>
    </row>
    <row r="625" spans="1:8">
      <c r="A625" t="s">
        <v>77</v>
      </c>
      <c r="B625" s="1" t="s">
        <v>7</v>
      </c>
      <c r="C625" t="s">
        <v>8</v>
      </c>
      <c r="D625" s="2">
        <v>16306851211</v>
      </c>
      <c r="E625" s="2">
        <v>2563301974</v>
      </c>
      <c r="F625" s="2">
        <v>1250323326</v>
      </c>
      <c r="G625" s="2">
        <f t="shared" si="18"/>
        <v>3813625300</v>
      </c>
      <c r="H625">
        <f t="shared" si="19"/>
        <v>0.23386644365942758</v>
      </c>
    </row>
    <row r="626" spans="1:8">
      <c r="A626" t="s">
        <v>77</v>
      </c>
      <c r="B626" s="1" t="s">
        <v>9</v>
      </c>
      <c r="C626" t="s">
        <v>10</v>
      </c>
      <c r="D626" s="2">
        <v>554099898</v>
      </c>
      <c r="E626" s="2">
        <v>226059355</v>
      </c>
      <c r="F626" s="2">
        <v>72264603</v>
      </c>
      <c r="G626" s="2">
        <f t="shared" si="18"/>
        <v>298323958</v>
      </c>
      <c r="H626">
        <f t="shared" si="19"/>
        <v>0.53839381504452111</v>
      </c>
    </row>
    <row r="627" spans="1:8">
      <c r="A627" t="s">
        <v>77</v>
      </c>
      <c r="B627" s="1" t="s">
        <v>11</v>
      </c>
      <c r="C627" t="s">
        <v>12</v>
      </c>
      <c r="D627" s="2">
        <v>133756635</v>
      </c>
      <c r="E627" s="2">
        <v>57536961</v>
      </c>
      <c r="F627" s="2">
        <v>15852961</v>
      </c>
      <c r="G627" s="2">
        <f t="shared" si="18"/>
        <v>73389922</v>
      </c>
      <c r="H627">
        <f t="shared" si="19"/>
        <v>0.54868247844303197</v>
      </c>
    </row>
    <row r="628" spans="1:8">
      <c r="A628" t="s">
        <v>77</v>
      </c>
      <c r="B628" s="1" t="s">
        <v>13</v>
      </c>
      <c r="C628" t="s">
        <v>14</v>
      </c>
      <c r="D628" s="2">
        <v>125768615</v>
      </c>
      <c r="E628" s="2">
        <v>53132298</v>
      </c>
      <c r="F628" s="2">
        <v>23031543</v>
      </c>
      <c r="G628" s="2">
        <f t="shared" si="18"/>
        <v>76163841</v>
      </c>
      <c r="H628">
        <f t="shared" si="19"/>
        <v>0.60558702184960855</v>
      </c>
    </row>
    <row r="629" spans="1:8">
      <c r="A629" t="s">
        <v>77</v>
      </c>
      <c r="B629" s="1" t="s">
        <v>15</v>
      </c>
      <c r="C629" t="s">
        <v>16</v>
      </c>
      <c r="D629" s="2">
        <v>249128824</v>
      </c>
      <c r="E629" s="2">
        <v>42511350</v>
      </c>
      <c r="F629" s="2">
        <v>11696053</v>
      </c>
      <c r="G629" s="2">
        <f t="shared" si="18"/>
        <v>54207403</v>
      </c>
      <c r="H629">
        <f t="shared" si="19"/>
        <v>0.21758784122065297</v>
      </c>
    </row>
    <row r="630" spans="1:8">
      <c r="A630" t="s">
        <v>77</v>
      </c>
      <c r="B630" s="1" t="s">
        <v>17</v>
      </c>
      <c r="C630" t="s">
        <v>18</v>
      </c>
      <c r="D630" s="2">
        <v>99058049</v>
      </c>
      <c r="E630" s="2">
        <v>60055253</v>
      </c>
      <c r="F630" s="2">
        <v>21799513</v>
      </c>
      <c r="G630" s="2">
        <f t="shared" si="18"/>
        <v>81854766</v>
      </c>
      <c r="H630">
        <f t="shared" si="19"/>
        <v>0.82633129590509091</v>
      </c>
    </row>
    <row r="631" spans="1:8">
      <c r="A631" t="s">
        <v>77</v>
      </c>
      <c r="B631" s="1" t="s">
        <v>19</v>
      </c>
      <c r="C631" t="s">
        <v>20</v>
      </c>
      <c r="D631" s="2">
        <v>110939858</v>
      </c>
      <c r="E631" s="2">
        <v>31174501</v>
      </c>
      <c r="F631" s="2">
        <v>20385940</v>
      </c>
      <c r="G631" s="2">
        <f t="shared" si="18"/>
        <v>51560441</v>
      </c>
      <c r="H631">
        <f t="shared" si="19"/>
        <v>0.46476029381613232</v>
      </c>
    </row>
    <row r="632" spans="1:8">
      <c r="A632" t="s">
        <v>77</v>
      </c>
      <c r="B632" s="1" t="s">
        <v>21</v>
      </c>
      <c r="C632" t="s">
        <v>22</v>
      </c>
      <c r="D632" s="2">
        <v>218183692</v>
      </c>
      <c r="E632" s="2">
        <v>54443948</v>
      </c>
      <c r="F632" s="2">
        <v>23619911</v>
      </c>
      <c r="G632" s="2">
        <f t="shared" si="18"/>
        <v>78063859</v>
      </c>
      <c r="H632">
        <f t="shared" si="19"/>
        <v>0.35778961426686279</v>
      </c>
    </row>
    <row r="633" spans="1:8">
      <c r="A633" t="s">
        <v>77</v>
      </c>
      <c r="B633" s="1" t="s">
        <v>23</v>
      </c>
      <c r="C633" t="s">
        <v>24</v>
      </c>
      <c r="D633" s="2">
        <v>336659123</v>
      </c>
      <c r="E633" s="2">
        <v>42214810</v>
      </c>
      <c r="F633" s="2">
        <v>27020900</v>
      </c>
      <c r="G633" s="2">
        <f t="shared" si="18"/>
        <v>69235710</v>
      </c>
      <c r="H633">
        <f t="shared" si="19"/>
        <v>0.20565523186490331</v>
      </c>
    </row>
    <row r="634" spans="1:8">
      <c r="A634" t="s">
        <v>77</v>
      </c>
      <c r="B634" s="1" t="s">
        <v>25</v>
      </c>
      <c r="C634" t="s">
        <v>26</v>
      </c>
      <c r="D634" s="2">
        <v>248820686</v>
      </c>
      <c r="E634" s="2">
        <v>36503843</v>
      </c>
      <c r="F634" s="2">
        <v>26836157</v>
      </c>
      <c r="G634" s="2">
        <f t="shared" si="18"/>
        <v>63340000</v>
      </c>
      <c r="H634">
        <f t="shared" si="19"/>
        <v>0.25456082859605972</v>
      </c>
    </row>
    <row r="635" spans="1:8">
      <c r="A635" t="s">
        <v>77</v>
      </c>
      <c r="B635">
        <v>10000</v>
      </c>
      <c r="C635" t="s">
        <v>27</v>
      </c>
      <c r="D635" s="2">
        <v>222802071</v>
      </c>
      <c r="E635" s="2">
        <v>32218608</v>
      </c>
      <c r="F635" s="2">
        <v>18609304</v>
      </c>
      <c r="G635" s="2">
        <f t="shared" si="18"/>
        <v>50827912</v>
      </c>
      <c r="H635">
        <f t="shared" si="19"/>
        <v>0.22813033905775498</v>
      </c>
    </row>
    <row r="636" spans="1:8">
      <c r="A636" t="s">
        <v>77</v>
      </c>
      <c r="B636">
        <v>11000</v>
      </c>
      <c r="C636" t="s">
        <v>28</v>
      </c>
      <c r="D636" s="2">
        <v>664996642</v>
      </c>
      <c r="E636" s="2">
        <v>37423565</v>
      </c>
      <c r="F636" s="2">
        <v>31080573</v>
      </c>
      <c r="G636" s="2">
        <f t="shared" si="18"/>
        <v>68504138</v>
      </c>
      <c r="H636">
        <f t="shared" si="19"/>
        <v>0.10301426153667706</v>
      </c>
    </row>
    <row r="637" spans="1:8">
      <c r="A637" t="s">
        <v>77</v>
      </c>
      <c r="B637">
        <v>12000</v>
      </c>
      <c r="C637" t="s">
        <v>29</v>
      </c>
      <c r="D637" s="2">
        <v>584609727</v>
      </c>
      <c r="E637" s="2">
        <v>47144667</v>
      </c>
      <c r="F637" s="2">
        <v>38857885</v>
      </c>
      <c r="G637" s="2">
        <f t="shared" si="18"/>
        <v>86002552</v>
      </c>
      <c r="H637">
        <f t="shared" si="19"/>
        <v>0.14711105208825923</v>
      </c>
    </row>
    <row r="638" spans="1:8">
      <c r="A638" t="s">
        <v>77</v>
      </c>
      <c r="B638">
        <v>13000</v>
      </c>
      <c r="C638" t="s">
        <v>30</v>
      </c>
      <c r="D638" s="2">
        <v>4236958739</v>
      </c>
      <c r="E638" s="2">
        <v>106784042</v>
      </c>
      <c r="F638" s="2">
        <v>118321973</v>
      </c>
      <c r="G638" s="2">
        <f t="shared" si="18"/>
        <v>225106015</v>
      </c>
      <c r="H638">
        <f t="shared" si="19"/>
        <v>5.3129149672373054E-2</v>
      </c>
    </row>
    <row r="639" spans="1:8">
      <c r="A639" t="s">
        <v>77</v>
      </c>
      <c r="B639">
        <v>14000</v>
      </c>
      <c r="C639" t="s">
        <v>31</v>
      </c>
      <c r="D639" s="2">
        <v>974989314</v>
      </c>
      <c r="E639" s="2">
        <v>37004234</v>
      </c>
      <c r="F639" s="2">
        <v>28901741</v>
      </c>
      <c r="G639" s="2">
        <f t="shared" si="18"/>
        <v>65905975</v>
      </c>
      <c r="H639">
        <f t="shared" si="19"/>
        <v>6.7596612653746474E-2</v>
      </c>
    </row>
    <row r="640" spans="1:8">
      <c r="A640" t="s">
        <v>77</v>
      </c>
      <c r="B640">
        <v>15000</v>
      </c>
      <c r="C640" t="s">
        <v>32</v>
      </c>
      <c r="D640" s="2">
        <v>252256589</v>
      </c>
      <c r="E640" s="2">
        <v>100842516</v>
      </c>
      <c r="F640" s="2">
        <v>51173592</v>
      </c>
      <c r="G640" s="2">
        <f t="shared" si="18"/>
        <v>152016108</v>
      </c>
      <c r="H640">
        <f t="shared" si="19"/>
        <v>0.60262492489343855</v>
      </c>
    </row>
    <row r="641" spans="1:8">
      <c r="A641" t="s">
        <v>77</v>
      </c>
      <c r="B641">
        <v>16000</v>
      </c>
      <c r="C641" t="s">
        <v>33</v>
      </c>
      <c r="D641" s="2">
        <v>119637690</v>
      </c>
      <c r="E641" s="2">
        <v>30495929</v>
      </c>
      <c r="F641" s="2">
        <v>15338178</v>
      </c>
      <c r="G641" s="2">
        <f t="shared" si="18"/>
        <v>45834107</v>
      </c>
      <c r="H641">
        <f t="shared" si="19"/>
        <v>0.3831075892555264</v>
      </c>
    </row>
    <row r="642" spans="1:8">
      <c r="A642" t="s">
        <v>77</v>
      </c>
      <c r="B642">
        <v>17000</v>
      </c>
      <c r="C642" t="s">
        <v>34</v>
      </c>
      <c r="D642" s="2">
        <v>129180684</v>
      </c>
      <c r="E642" s="2">
        <v>36515434</v>
      </c>
      <c r="F642" s="2">
        <v>17288187</v>
      </c>
      <c r="G642" s="2">
        <f t="shared" si="18"/>
        <v>53803621</v>
      </c>
      <c r="H642">
        <f t="shared" si="19"/>
        <v>0.41649896357569993</v>
      </c>
    </row>
    <row r="643" spans="1:8">
      <c r="A643" t="s">
        <v>77</v>
      </c>
      <c r="B643">
        <v>18000</v>
      </c>
      <c r="C643" t="s">
        <v>35</v>
      </c>
      <c r="D643" s="2">
        <v>102542231</v>
      </c>
      <c r="E643" s="2">
        <v>42206413</v>
      </c>
      <c r="F643" s="2">
        <v>14896055</v>
      </c>
      <c r="G643" s="2">
        <f t="shared" ref="G643:G706" si="20">E643+F643</f>
        <v>57102468</v>
      </c>
      <c r="H643">
        <f t="shared" ref="H643:H706" si="21">G643/D643</f>
        <v>0.55686781380834205</v>
      </c>
    </row>
    <row r="644" spans="1:8">
      <c r="A644" t="s">
        <v>77</v>
      </c>
      <c r="B644">
        <v>19000</v>
      </c>
      <c r="C644" t="s">
        <v>36</v>
      </c>
      <c r="D644" s="2">
        <v>103043289</v>
      </c>
      <c r="E644" s="2">
        <v>47454977</v>
      </c>
      <c r="F644" s="2">
        <v>6449795</v>
      </c>
      <c r="G644" s="2">
        <f t="shared" si="20"/>
        <v>53904772</v>
      </c>
      <c r="H644">
        <f t="shared" si="21"/>
        <v>0.52312744015769919</v>
      </c>
    </row>
    <row r="645" spans="1:8">
      <c r="A645" t="s">
        <v>77</v>
      </c>
      <c r="B645">
        <v>20000</v>
      </c>
      <c r="C645" t="s">
        <v>37</v>
      </c>
      <c r="D645" s="2">
        <v>233509723</v>
      </c>
      <c r="E645" s="2">
        <v>44877046</v>
      </c>
      <c r="F645" s="2">
        <v>25698877</v>
      </c>
      <c r="G645" s="2">
        <f t="shared" si="20"/>
        <v>70575923</v>
      </c>
      <c r="H645">
        <f t="shared" si="21"/>
        <v>0.30223976155374055</v>
      </c>
    </row>
    <row r="646" spans="1:8">
      <c r="A646" t="s">
        <v>77</v>
      </c>
      <c r="B646">
        <v>21000</v>
      </c>
      <c r="C646" t="s">
        <v>38</v>
      </c>
      <c r="D646" s="2">
        <v>217407317</v>
      </c>
      <c r="E646" s="2">
        <v>45480061</v>
      </c>
      <c r="F646" s="2">
        <v>22297828</v>
      </c>
      <c r="G646" s="2">
        <f t="shared" si="20"/>
        <v>67777889</v>
      </c>
      <c r="H646">
        <f t="shared" si="21"/>
        <v>0.31175532606384171</v>
      </c>
    </row>
    <row r="647" spans="1:8">
      <c r="A647" t="s">
        <v>77</v>
      </c>
      <c r="B647">
        <v>22000</v>
      </c>
      <c r="C647" t="s">
        <v>39</v>
      </c>
      <c r="D647" s="2">
        <v>469119248</v>
      </c>
      <c r="E647" s="2">
        <v>56329854</v>
      </c>
      <c r="F647" s="2">
        <v>26999294</v>
      </c>
      <c r="G647" s="2">
        <f t="shared" si="20"/>
        <v>83329148</v>
      </c>
      <c r="H647">
        <f t="shared" si="21"/>
        <v>0.17762892559889165</v>
      </c>
    </row>
    <row r="648" spans="1:8">
      <c r="A648" t="s">
        <v>77</v>
      </c>
      <c r="B648">
        <v>23000</v>
      </c>
      <c r="C648" t="s">
        <v>40</v>
      </c>
      <c r="D648" s="2">
        <v>1031802755</v>
      </c>
      <c r="E648" s="2">
        <v>74579579</v>
      </c>
      <c r="F648" s="2">
        <v>38236793</v>
      </c>
      <c r="G648" s="2">
        <f t="shared" si="20"/>
        <v>112816372</v>
      </c>
      <c r="H648">
        <f t="shared" si="21"/>
        <v>0.10933908777942737</v>
      </c>
    </row>
    <row r="649" spans="1:8">
      <c r="A649" t="s">
        <v>77</v>
      </c>
      <c r="B649">
        <v>24000</v>
      </c>
      <c r="C649" t="s">
        <v>41</v>
      </c>
      <c r="D649" s="2">
        <v>220331223</v>
      </c>
      <c r="E649" s="2">
        <v>37500836</v>
      </c>
      <c r="F649" s="2">
        <v>10263558</v>
      </c>
      <c r="G649" s="2">
        <f t="shared" si="20"/>
        <v>47764394</v>
      </c>
      <c r="H649">
        <f t="shared" si="21"/>
        <v>0.21678449994352367</v>
      </c>
    </row>
    <row r="650" spans="1:8">
      <c r="A650" t="s">
        <v>77</v>
      </c>
      <c r="B650">
        <v>25000</v>
      </c>
      <c r="C650" t="s">
        <v>42</v>
      </c>
      <c r="D650" s="2">
        <v>150397774</v>
      </c>
      <c r="E650" s="2">
        <v>26807331</v>
      </c>
      <c r="F650" s="2">
        <v>14346429</v>
      </c>
      <c r="G650" s="2">
        <f t="shared" si="20"/>
        <v>41153760</v>
      </c>
      <c r="H650">
        <f t="shared" si="21"/>
        <v>0.27363277331484975</v>
      </c>
    </row>
    <row r="651" spans="1:8">
      <c r="A651" t="s">
        <v>77</v>
      </c>
      <c r="B651">
        <v>26000</v>
      </c>
      <c r="C651" t="s">
        <v>43</v>
      </c>
      <c r="D651" s="2">
        <v>255467958</v>
      </c>
      <c r="E651" s="2">
        <v>25140782</v>
      </c>
      <c r="F651" s="2">
        <v>17553400</v>
      </c>
      <c r="G651" s="2">
        <f t="shared" si="20"/>
        <v>42694182</v>
      </c>
      <c r="H651">
        <f t="shared" si="21"/>
        <v>0.1671214751714577</v>
      </c>
    </row>
    <row r="652" spans="1:8">
      <c r="A652" t="s">
        <v>77</v>
      </c>
      <c r="B652">
        <v>27000</v>
      </c>
      <c r="C652" t="s">
        <v>44</v>
      </c>
      <c r="D652" s="2">
        <v>1055895777</v>
      </c>
      <c r="E652" s="2">
        <v>67383210</v>
      </c>
      <c r="F652" s="2">
        <v>56630337</v>
      </c>
      <c r="G652" s="2">
        <f t="shared" si="20"/>
        <v>124013547</v>
      </c>
      <c r="H652">
        <f t="shared" si="21"/>
        <v>0.11744866273861421</v>
      </c>
    </row>
    <row r="653" spans="1:8">
      <c r="A653" t="s">
        <v>77</v>
      </c>
      <c r="B653">
        <v>28000</v>
      </c>
      <c r="C653" t="s">
        <v>45</v>
      </c>
      <c r="D653" s="2">
        <v>538937144</v>
      </c>
      <c r="E653" s="2">
        <v>78000493</v>
      </c>
      <c r="F653" s="2">
        <v>49398741</v>
      </c>
      <c r="G653" s="2">
        <f t="shared" si="20"/>
        <v>127399234</v>
      </c>
      <c r="H653">
        <f t="shared" si="21"/>
        <v>0.23638978203365399</v>
      </c>
    </row>
    <row r="654" spans="1:8">
      <c r="A654" t="s">
        <v>77</v>
      </c>
      <c r="B654">
        <v>29000</v>
      </c>
      <c r="C654" t="s">
        <v>46</v>
      </c>
      <c r="D654" s="2">
        <v>117436298</v>
      </c>
      <c r="E654" s="2">
        <v>27965222</v>
      </c>
      <c r="F654" s="2">
        <v>12582677</v>
      </c>
      <c r="G654" s="2">
        <f t="shared" si="20"/>
        <v>40547899</v>
      </c>
      <c r="H654">
        <f t="shared" si="21"/>
        <v>0.34527569150723741</v>
      </c>
    </row>
    <row r="655" spans="1:8">
      <c r="A655" t="s">
        <v>77</v>
      </c>
      <c r="B655">
        <v>30000</v>
      </c>
      <c r="C655" t="s">
        <v>47</v>
      </c>
      <c r="D655" s="2">
        <v>90034880</v>
      </c>
      <c r="E655" s="2">
        <v>36199604</v>
      </c>
      <c r="F655" s="2">
        <v>16184808</v>
      </c>
      <c r="G655" s="2">
        <f t="shared" si="20"/>
        <v>52384412</v>
      </c>
      <c r="H655">
        <f t="shared" si="21"/>
        <v>0.58182353327954672</v>
      </c>
    </row>
    <row r="656" spans="1:8">
      <c r="A656" t="s">
        <v>77</v>
      </c>
      <c r="B656">
        <v>31000</v>
      </c>
      <c r="C656" t="s">
        <v>48</v>
      </c>
      <c r="D656" s="2">
        <v>56480372</v>
      </c>
      <c r="E656" s="2">
        <v>26620452</v>
      </c>
      <c r="F656" s="2">
        <v>15688020</v>
      </c>
      <c r="G656" s="2">
        <f t="shared" si="20"/>
        <v>42308472</v>
      </c>
      <c r="H656">
        <f t="shared" si="21"/>
        <v>0.74908274329354629</v>
      </c>
    </row>
    <row r="657" spans="1:8">
      <c r="A657" t="s">
        <v>77</v>
      </c>
      <c r="B657">
        <v>32000</v>
      </c>
      <c r="C657" t="s">
        <v>49</v>
      </c>
      <c r="D657" s="2">
        <v>65643235</v>
      </c>
      <c r="E657" s="2">
        <v>52350431</v>
      </c>
      <c r="F657" s="2">
        <v>23991825</v>
      </c>
      <c r="G657" s="2">
        <f t="shared" si="20"/>
        <v>76342256</v>
      </c>
      <c r="H657">
        <f t="shared" si="21"/>
        <v>1.1629874121834489</v>
      </c>
    </row>
    <row r="658" spans="1:8">
      <c r="A658" t="s">
        <v>77</v>
      </c>
      <c r="B658">
        <v>33000</v>
      </c>
      <c r="C658" t="s">
        <v>50</v>
      </c>
      <c r="D658" s="2">
        <v>196487949</v>
      </c>
      <c r="E658" s="2">
        <v>37388869</v>
      </c>
      <c r="F658" s="2">
        <v>22382104</v>
      </c>
      <c r="G658" s="2">
        <f t="shared" si="20"/>
        <v>59770973</v>
      </c>
      <c r="H658">
        <f t="shared" si="21"/>
        <v>0.30419663548933479</v>
      </c>
    </row>
    <row r="659" spans="1:8">
      <c r="A659" t="s">
        <v>77</v>
      </c>
      <c r="B659">
        <v>34000</v>
      </c>
      <c r="C659" t="s">
        <v>51</v>
      </c>
      <c r="D659" s="2">
        <v>296510359</v>
      </c>
      <c r="E659" s="2">
        <v>53954099</v>
      </c>
      <c r="F659" s="2">
        <v>45830446</v>
      </c>
      <c r="G659" s="2">
        <f t="shared" si="20"/>
        <v>99784545</v>
      </c>
      <c r="H659">
        <f t="shared" si="21"/>
        <v>0.33652970957416029</v>
      </c>
    </row>
    <row r="660" spans="1:8">
      <c r="A660" t="s">
        <v>77</v>
      </c>
      <c r="B660">
        <v>35000</v>
      </c>
      <c r="C660" t="s">
        <v>52</v>
      </c>
      <c r="D660" s="2">
        <v>154793891</v>
      </c>
      <c r="E660" s="2">
        <v>53512570</v>
      </c>
      <c r="F660" s="2">
        <v>30323819</v>
      </c>
      <c r="G660" s="2">
        <f t="shared" si="20"/>
        <v>83836389</v>
      </c>
      <c r="H660">
        <f t="shared" si="21"/>
        <v>0.5416001139218084</v>
      </c>
    </row>
    <row r="661" spans="1:8">
      <c r="A661" t="s">
        <v>77</v>
      </c>
      <c r="B661">
        <v>36000</v>
      </c>
      <c r="C661" t="s">
        <v>53</v>
      </c>
      <c r="D661" s="2">
        <v>84815859</v>
      </c>
      <c r="E661" s="2">
        <v>38710305</v>
      </c>
      <c r="F661" s="2">
        <v>12382221</v>
      </c>
      <c r="G661" s="2">
        <f t="shared" si="20"/>
        <v>51092526</v>
      </c>
      <c r="H661">
        <f t="shared" si="21"/>
        <v>0.60239354529204259</v>
      </c>
    </row>
    <row r="662" spans="1:8">
      <c r="A662" t="s">
        <v>77</v>
      </c>
      <c r="B662">
        <v>37000</v>
      </c>
      <c r="C662" t="s">
        <v>54</v>
      </c>
      <c r="D662" s="2">
        <v>107821305</v>
      </c>
      <c r="E662" s="2">
        <v>16525476</v>
      </c>
      <c r="F662" s="2">
        <v>11457714</v>
      </c>
      <c r="G662" s="2">
        <f t="shared" si="20"/>
        <v>27983190</v>
      </c>
      <c r="H662">
        <f t="shared" si="21"/>
        <v>0.25953303013722567</v>
      </c>
    </row>
    <row r="663" spans="1:8">
      <c r="A663" t="s">
        <v>77</v>
      </c>
      <c r="B663">
        <v>38000</v>
      </c>
      <c r="C663" t="s">
        <v>55</v>
      </c>
      <c r="D663" s="2">
        <v>132226731</v>
      </c>
      <c r="E663" s="2">
        <v>46105390</v>
      </c>
      <c r="F663" s="2">
        <v>18274376</v>
      </c>
      <c r="G663" s="2">
        <f t="shared" si="20"/>
        <v>64379766</v>
      </c>
      <c r="H663">
        <f t="shared" si="21"/>
        <v>0.48688919035591977</v>
      </c>
    </row>
    <row r="664" spans="1:8">
      <c r="A664" t="s">
        <v>77</v>
      </c>
      <c r="B664">
        <v>39000</v>
      </c>
      <c r="C664" t="s">
        <v>56</v>
      </c>
      <c r="D664" s="2">
        <v>63564996</v>
      </c>
      <c r="E664" s="2">
        <v>46961008</v>
      </c>
      <c r="F664" s="2">
        <v>14848064</v>
      </c>
      <c r="G664" s="2">
        <f t="shared" si="20"/>
        <v>61809072</v>
      </c>
      <c r="H664">
        <f t="shared" si="21"/>
        <v>0.97237592841192033</v>
      </c>
    </row>
    <row r="665" spans="1:8">
      <c r="A665" t="s">
        <v>77</v>
      </c>
      <c r="B665">
        <v>40000</v>
      </c>
      <c r="C665" t="s">
        <v>57</v>
      </c>
      <c r="D665" s="2">
        <v>500171798</v>
      </c>
      <c r="E665" s="2">
        <v>63589614</v>
      </c>
      <c r="F665" s="2">
        <v>40004874</v>
      </c>
      <c r="G665" s="2">
        <f t="shared" si="20"/>
        <v>103594488</v>
      </c>
      <c r="H665">
        <f t="shared" si="21"/>
        <v>0.20711781114856059</v>
      </c>
    </row>
    <row r="666" spans="1:8">
      <c r="A666" t="s">
        <v>77</v>
      </c>
      <c r="B666">
        <v>41000</v>
      </c>
      <c r="C666" t="s">
        <v>58</v>
      </c>
      <c r="D666" s="2">
        <v>84983530</v>
      </c>
      <c r="E666" s="2">
        <v>41062697</v>
      </c>
      <c r="F666" s="2">
        <v>7628296</v>
      </c>
      <c r="G666" s="2">
        <f t="shared" si="20"/>
        <v>48690993</v>
      </c>
      <c r="H666">
        <f t="shared" si="21"/>
        <v>0.57294622852216193</v>
      </c>
    </row>
    <row r="667" spans="1:8">
      <c r="A667" t="s">
        <v>77</v>
      </c>
      <c r="B667">
        <v>42000</v>
      </c>
      <c r="C667" t="s">
        <v>59</v>
      </c>
      <c r="D667" s="2">
        <v>109869450</v>
      </c>
      <c r="E667" s="2">
        <v>76633500</v>
      </c>
      <c r="F667" s="2">
        <v>22230380</v>
      </c>
      <c r="G667" s="2">
        <f t="shared" si="20"/>
        <v>98863880</v>
      </c>
      <c r="H667">
        <f t="shared" si="21"/>
        <v>0.89983048062951076</v>
      </c>
    </row>
    <row r="668" spans="1:8">
      <c r="A668" t="s">
        <v>77</v>
      </c>
      <c r="B668">
        <v>43000</v>
      </c>
      <c r="C668" t="s">
        <v>60</v>
      </c>
      <c r="D668" s="2">
        <v>162896076</v>
      </c>
      <c r="E668" s="2">
        <v>56713459</v>
      </c>
      <c r="F668" s="2">
        <v>20119459</v>
      </c>
      <c r="G668" s="2">
        <f t="shared" si="20"/>
        <v>76832918</v>
      </c>
      <c r="H668">
        <f t="shared" si="21"/>
        <v>0.47166831692127442</v>
      </c>
    </row>
    <row r="669" spans="1:8">
      <c r="A669" t="s">
        <v>77</v>
      </c>
      <c r="B669">
        <v>44000</v>
      </c>
      <c r="C669" t="s">
        <v>61</v>
      </c>
      <c r="D669" s="2">
        <v>109704152</v>
      </c>
      <c r="E669" s="2">
        <v>51660111</v>
      </c>
      <c r="F669" s="2">
        <v>16902990</v>
      </c>
      <c r="G669" s="2">
        <f t="shared" si="20"/>
        <v>68563101</v>
      </c>
      <c r="H669">
        <f t="shared" si="21"/>
        <v>0.62498182384200007</v>
      </c>
    </row>
    <row r="670" spans="1:8">
      <c r="A670" t="s">
        <v>77</v>
      </c>
      <c r="B670">
        <v>45000</v>
      </c>
      <c r="C670" t="s">
        <v>62</v>
      </c>
      <c r="D670" s="2">
        <v>94779280</v>
      </c>
      <c r="E670" s="2">
        <v>47462728</v>
      </c>
      <c r="F670" s="2">
        <v>25795163</v>
      </c>
      <c r="G670" s="2">
        <f t="shared" si="20"/>
        <v>73257891</v>
      </c>
      <c r="H670">
        <f t="shared" si="21"/>
        <v>0.77293149937412486</v>
      </c>
    </row>
    <row r="671" spans="1:8">
      <c r="A671" t="s">
        <v>77</v>
      </c>
      <c r="B671">
        <v>46000</v>
      </c>
      <c r="C671" t="s">
        <v>63</v>
      </c>
      <c r="D671" s="2">
        <v>142692165</v>
      </c>
      <c r="E671" s="2">
        <v>101863962</v>
      </c>
      <c r="F671" s="2">
        <v>30784316</v>
      </c>
      <c r="G671" s="2">
        <f t="shared" si="20"/>
        <v>132648278</v>
      </c>
      <c r="H671">
        <f t="shared" si="21"/>
        <v>0.92961150319640884</v>
      </c>
    </row>
    <row r="672" spans="1:8">
      <c r="A672" t="s">
        <v>77</v>
      </c>
      <c r="B672">
        <v>47000</v>
      </c>
      <c r="C672" t="s">
        <v>64</v>
      </c>
      <c r="D672" s="2">
        <v>95637610</v>
      </c>
      <c r="E672" s="2">
        <v>110200581</v>
      </c>
      <c r="F672" s="2">
        <v>18061653</v>
      </c>
      <c r="G672" s="2">
        <f t="shared" si="20"/>
        <v>128262234</v>
      </c>
      <c r="H672">
        <f t="shared" si="21"/>
        <v>1.3411275543167589</v>
      </c>
    </row>
    <row r="673" spans="1:8">
      <c r="A673" t="s">
        <v>78</v>
      </c>
      <c r="B673" s="1" t="s">
        <v>7</v>
      </c>
      <c r="C673" t="s">
        <v>8</v>
      </c>
      <c r="D673" s="2">
        <v>15425989250</v>
      </c>
      <c r="E673" s="2">
        <v>3028602428</v>
      </c>
      <c r="F673" s="2">
        <v>1281655406</v>
      </c>
      <c r="G673" s="2">
        <f t="shared" si="20"/>
        <v>4310257834</v>
      </c>
      <c r="H673">
        <f t="shared" si="21"/>
        <v>0.2794153272212348</v>
      </c>
    </row>
    <row r="674" spans="1:8">
      <c r="A674" t="s">
        <v>78</v>
      </c>
      <c r="B674" s="1" t="s">
        <v>9</v>
      </c>
      <c r="C674" t="s">
        <v>10</v>
      </c>
      <c r="D674" s="2">
        <v>546637948</v>
      </c>
      <c r="E674" s="2">
        <v>268815154</v>
      </c>
      <c r="F674" s="2">
        <v>68433239</v>
      </c>
      <c r="G674" s="2">
        <f t="shared" si="20"/>
        <v>337248393</v>
      </c>
      <c r="H674">
        <f t="shared" si="21"/>
        <v>0.61695020302542192</v>
      </c>
    </row>
    <row r="675" spans="1:8">
      <c r="A675" t="s">
        <v>78</v>
      </c>
      <c r="B675" s="1" t="s">
        <v>11</v>
      </c>
      <c r="C675" t="s">
        <v>12</v>
      </c>
      <c r="D675" s="2">
        <v>131442498</v>
      </c>
      <c r="E675" s="2">
        <v>69283841</v>
      </c>
      <c r="F675" s="2">
        <v>16443184</v>
      </c>
      <c r="G675" s="2">
        <f t="shared" si="20"/>
        <v>85727025</v>
      </c>
      <c r="H675">
        <f t="shared" si="21"/>
        <v>0.65220173311070218</v>
      </c>
    </row>
    <row r="676" spans="1:8">
      <c r="A676" t="s">
        <v>78</v>
      </c>
      <c r="B676" s="1" t="s">
        <v>13</v>
      </c>
      <c r="C676" t="s">
        <v>14</v>
      </c>
      <c r="D676" s="2">
        <v>123476259</v>
      </c>
      <c r="E676" s="2">
        <v>64688074</v>
      </c>
      <c r="F676" s="2">
        <v>24963388</v>
      </c>
      <c r="G676" s="2">
        <f t="shared" si="20"/>
        <v>89651462</v>
      </c>
      <c r="H676">
        <f t="shared" si="21"/>
        <v>0.7260623436931305</v>
      </c>
    </row>
    <row r="677" spans="1:8">
      <c r="A677" t="s">
        <v>78</v>
      </c>
      <c r="B677" s="1" t="s">
        <v>15</v>
      </c>
      <c r="C677" t="s">
        <v>16</v>
      </c>
      <c r="D677" s="2">
        <v>245371990</v>
      </c>
      <c r="E677" s="2">
        <v>42527478</v>
      </c>
      <c r="F677" s="2">
        <v>16748690</v>
      </c>
      <c r="G677" s="2">
        <f t="shared" si="20"/>
        <v>59276168</v>
      </c>
      <c r="H677">
        <f t="shared" si="21"/>
        <v>0.24157675046772861</v>
      </c>
    </row>
    <row r="678" spans="1:8">
      <c r="A678" t="s">
        <v>78</v>
      </c>
      <c r="B678" s="1" t="s">
        <v>17</v>
      </c>
      <c r="C678" t="s">
        <v>18</v>
      </c>
      <c r="D678" s="2">
        <v>97512462</v>
      </c>
      <c r="E678" s="2">
        <v>73679010</v>
      </c>
      <c r="F678" s="2">
        <v>21435528</v>
      </c>
      <c r="G678" s="2">
        <f t="shared" si="20"/>
        <v>95114538</v>
      </c>
      <c r="H678">
        <f t="shared" si="21"/>
        <v>0.97540905079393847</v>
      </c>
    </row>
    <row r="679" spans="1:8">
      <c r="A679" t="s">
        <v>78</v>
      </c>
      <c r="B679" s="1" t="s">
        <v>19</v>
      </c>
      <c r="C679" t="s">
        <v>20</v>
      </c>
      <c r="D679" s="2">
        <v>107893994</v>
      </c>
      <c r="E679" s="2">
        <v>41138822</v>
      </c>
      <c r="F679" s="2">
        <v>24970448</v>
      </c>
      <c r="G679" s="2">
        <f t="shared" si="20"/>
        <v>66109270</v>
      </c>
      <c r="H679">
        <f t="shared" si="21"/>
        <v>0.6127242819465929</v>
      </c>
    </row>
    <row r="680" spans="1:8">
      <c r="A680" t="s">
        <v>78</v>
      </c>
      <c r="B680" s="1" t="s">
        <v>21</v>
      </c>
      <c r="C680" t="s">
        <v>22</v>
      </c>
      <c r="D680" s="2">
        <v>210846378</v>
      </c>
      <c r="E680" s="2">
        <v>65130084</v>
      </c>
      <c r="F680" s="2">
        <v>26799763</v>
      </c>
      <c r="G680" s="2">
        <f t="shared" si="20"/>
        <v>91929847</v>
      </c>
      <c r="H680">
        <f t="shared" si="21"/>
        <v>0.43600391845479081</v>
      </c>
    </row>
    <row r="681" spans="1:8">
      <c r="A681" t="s">
        <v>78</v>
      </c>
      <c r="B681" s="1" t="s">
        <v>23</v>
      </c>
      <c r="C681" t="s">
        <v>24</v>
      </c>
      <c r="D681" s="2">
        <v>320761405</v>
      </c>
      <c r="E681" s="2">
        <v>47769512</v>
      </c>
      <c r="F681" s="2">
        <v>30198863</v>
      </c>
      <c r="G681" s="2">
        <f t="shared" si="20"/>
        <v>77968375</v>
      </c>
      <c r="H681">
        <f t="shared" si="21"/>
        <v>0.24307280671750395</v>
      </c>
    </row>
    <row r="682" spans="1:8">
      <c r="A682" t="s">
        <v>78</v>
      </c>
      <c r="B682" s="1" t="s">
        <v>25</v>
      </c>
      <c r="C682" t="s">
        <v>26</v>
      </c>
      <c r="D682" s="2">
        <v>225877905</v>
      </c>
      <c r="E682" s="2">
        <v>44107970</v>
      </c>
      <c r="F682" s="2">
        <v>25789131</v>
      </c>
      <c r="G682" s="2">
        <f t="shared" si="20"/>
        <v>69897101</v>
      </c>
      <c r="H682">
        <f t="shared" si="21"/>
        <v>0.30944638431988292</v>
      </c>
    </row>
    <row r="683" spans="1:8">
      <c r="A683" t="s">
        <v>78</v>
      </c>
      <c r="B683">
        <v>10000</v>
      </c>
      <c r="C683" t="s">
        <v>27</v>
      </c>
      <c r="D683" s="2">
        <v>209336076</v>
      </c>
      <c r="E683" s="2">
        <v>40988438</v>
      </c>
      <c r="F683" s="2">
        <v>19118950</v>
      </c>
      <c r="G683" s="2">
        <f t="shared" si="20"/>
        <v>60107388</v>
      </c>
      <c r="H683">
        <f t="shared" si="21"/>
        <v>0.28713344182490552</v>
      </c>
    </row>
    <row r="684" spans="1:8">
      <c r="A684" t="s">
        <v>78</v>
      </c>
      <c r="B684">
        <v>11000</v>
      </c>
      <c r="C684" t="s">
        <v>28</v>
      </c>
      <c r="D684" s="2">
        <v>633292981</v>
      </c>
      <c r="E684" s="2">
        <v>47401098</v>
      </c>
      <c r="F684" s="2">
        <v>31323503</v>
      </c>
      <c r="G684" s="2">
        <f t="shared" si="20"/>
        <v>78724601</v>
      </c>
      <c r="H684">
        <f t="shared" si="21"/>
        <v>0.12430992188748102</v>
      </c>
    </row>
    <row r="685" spans="1:8">
      <c r="A685" t="s">
        <v>78</v>
      </c>
      <c r="B685">
        <v>12000</v>
      </c>
      <c r="C685" t="s">
        <v>29</v>
      </c>
      <c r="D685" s="2">
        <v>555876262</v>
      </c>
      <c r="E685" s="2">
        <v>59254012</v>
      </c>
      <c r="F685" s="2">
        <v>41398973</v>
      </c>
      <c r="G685" s="2">
        <f t="shared" si="20"/>
        <v>100652985</v>
      </c>
      <c r="H685">
        <f t="shared" si="21"/>
        <v>0.18107084594304909</v>
      </c>
    </row>
    <row r="686" spans="1:8">
      <c r="A686" t="s">
        <v>78</v>
      </c>
      <c r="B686">
        <v>13000</v>
      </c>
      <c r="C686" t="s">
        <v>30</v>
      </c>
      <c r="D686" s="2">
        <v>3936024812</v>
      </c>
      <c r="E686" s="2">
        <v>144472088</v>
      </c>
      <c r="F686" s="2">
        <v>108535328</v>
      </c>
      <c r="G686" s="2">
        <f t="shared" si="20"/>
        <v>253007416</v>
      </c>
      <c r="H686">
        <f t="shared" si="21"/>
        <v>6.4279934219073215E-2</v>
      </c>
    </row>
    <row r="687" spans="1:8">
      <c r="A687" t="s">
        <v>78</v>
      </c>
      <c r="B687">
        <v>14000</v>
      </c>
      <c r="C687" t="s">
        <v>31</v>
      </c>
      <c r="D687" s="2">
        <v>880703001</v>
      </c>
      <c r="E687" s="2">
        <v>43293715</v>
      </c>
      <c r="F687" s="2">
        <v>30390029</v>
      </c>
      <c r="G687" s="2">
        <f t="shared" si="20"/>
        <v>73683744</v>
      </c>
      <c r="H687">
        <f t="shared" si="21"/>
        <v>8.3664690498766681E-2</v>
      </c>
    </row>
    <row r="688" spans="1:8">
      <c r="A688" t="s">
        <v>78</v>
      </c>
      <c r="B688">
        <v>15000</v>
      </c>
      <c r="C688" t="s">
        <v>32</v>
      </c>
      <c r="D688" s="2">
        <v>242825173</v>
      </c>
      <c r="E688" s="2">
        <v>121709221</v>
      </c>
      <c r="F688" s="2">
        <v>33733410</v>
      </c>
      <c r="G688" s="2">
        <f t="shared" si="20"/>
        <v>155442631</v>
      </c>
      <c r="H688">
        <f t="shared" si="21"/>
        <v>0.64014216104357513</v>
      </c>
    </row>
    <row r="689" spans="1:8">
      <c r="A689" t="s">
        <v>78</v>
      </c>
      <c r="B689">
        <v>16000</v>
      </c>
      <c r="C689" t="s">
        <v>33</v>
      </c>
      <c r="D689" s="2">
        <v>116520543</v>
      </c>
      <c r="E689" s="2">
        <v>31979827</v>
      </c>
      <c r="F689" s="2">
        <v>16505625</v>
      </c>
      <c r="G689" s="2">
        <f t="shared" si="20"/>
        <v>48485452</v>
      </c>
      <c r="H689">
        <f t="shared" si="21"/>
        <v>0.4161107625459658</v>
      </c>
    </row>
    <row r="690" spans="1:8">
      <c r="A690" t="s">
        <v>78</v>
      </c>
      <c r="B690">
        <v>17000</v>
      </c>
      <c r="C690" t="s">
        <v>34</v>
      </c>
      <c r="D690" s="2">
        <v>125987993</v>
      </c>
      <c r="E690" s="2">
        <v>51202448</v>
      </c>
      <c r="F690" s="2">
        <v>17657942</v>
      </c>
      <c r="G690" s="2">
        <f t="shared" si="20"/>
        <v>68860390</v>
      </c>
      <c r="H690">
        <f t="shared" si="21"/>
        <v>0.54656311574071981</v>
      </c>
    </row>
    <row r="691" spans="1:8">
      <c r="A691" t="s">
        <v>78</v>
      </c>
      <c r="B691">
        <v>18000</v>
      </c>
      <c r="C691" t="s">
        <v>35</v>
      </c>
      <c r="D691" s="2">
        <v>98482086</v>
      </c>
      <c r="E691" s="2">
        <v>47695412</v>
      </c>
      <c r="F691" s="2">
        <v>16185304</v>
      </c>
      <c r="G691" s="2">
        <f t="shared" si="20"/>
        <v>63880716</v>
      </c>
      <c r="H691">
        <f t="shared" si="21"/>
        <v>0.6486531570828018</v>
      </c>
    </row>
    <row r="692" spans="1:8">
      <c r="A692" t="s">
        <v>78</v>
      </c>
      <c r="B692">
        <v>19000</v>
      </c>
      <c r="C692" t="s">
        <v>36</v>
      </c>
      <c r="D692" s="2">
        <v>93217738</v>
      </c>
      <c r="E692" s="2">
        <v>58079487</v>
      </c>
      <c r="F692" s="2">
        <v>6853189</v>
      </c>
      <c r="G692" s="2">
        <f t="shared" si="20"/>
        <v>64932676</v>
      </c>
      <c r="H692">
        <f t="shared" si="21"/>
        <v>0.69656995967870405</v>
      </c>
    </row>
    <row r="693" spans="1:8">
      <c r="A693" t="s">
        <v>78</v>
      </c>
      <c r="B693">
        <v>20000</v>
      </c>
      <c r="C693" t="s">
        <v>37</v>
      </c>
      <c r="D693" s="2">
        <v>224361225</v>
      </c>
      <c r="E693" s="2">
        <v>50429450</v>
      </c>
      <c r="F693" s="2">
        <v>28960465</v>
      </c>
      <c r="G693" s="2">
        <f t="shared" si="20"/>
        <v>79389915</v>
      </c>
      <c r="H693">
        <f t="shared" si="21"/>
        <v>0.35384864296404156</v>
      </c>
    </row>
    <row r="694" spans="1:8">
      <c r="A694" t="s">
        <v>78</v>
      </c>
      <c r="B694">
        <v>21000</v>
      </c>
      <c r="C694" t="s">
        <v>38</v>
      </c>
      <c r="D694" s="2">
        <v>209845108</v>
      </c>
      <c r="E694" s="2">
        <v>63346360</v>
      </c>
      <c r="F694" s="2">
        <v>24461401</v>
      </c>
      <c r="G694" s="2">
        <f t="shared" si="20"/>
        <v>87807761</v>
      </c>
      <c r="H694">
        <f t="shared" si="21"/>
        <v>0.41844082922342896</v>
      </c>
    </row>
    <row r="695" spans="1:8">
      <c r="A695" t="s">
        <v>78</v>
      </c>
      <c r="B695">
        <v>22000</v>
      </c>
      <c r="C695" t="s">
        <v>39</v>
      </c>
      <c r="D695" s="2">
        <v>452094807</v>
      </c>
      <c r="E695" s="2">
        <v>64532228</v>
      </c>
      <c r="F695" s="2">
        <v>28462020</v>
      </c>
      <c r="G695" s="2">
        <f t="shared" si="20"/>
        <v>92994248</v>
      </c>
      <c r="H695">
        <f t="shared" si="21"/>
        <v>0.20569634191794642</v>
      </c>
    </row>
    <row r="696" spans="1:8">
      <c r="A696" t="s">
        <v>78</v>
      </c>
      <c r="B696">
        <v>23000</v>
      </c>
      <c r="C696" t="s">
        <v>40</v>
      </c>
      <c r="D696" s="2">
        <v>1008530891</v>
      </c>
      <c r="E696" s="2">
        <v>85030129</v>
      </c>
      <c r="F696" s="2">
        <v>37938498</v>
      </c>
      <c r="G696" s="2">
        <f t="shared" si="20"/>
        <v>122968627</v>
      </c>
      <c r="H696">
        <f t="shared" si="21"/>
        <v>0.12192846852521447</v>
      </c>
    </row>
    <row r="697" spans="1:8">
      <c r="A697" t="s">
        <v>78</v>
      </c>
      <c r="B697">
        <v>24000</v>
      </c>
      <c r="C697" t="s">
        <v>41</v>
      </c>
      <c r="D697" s="2">
        <v>208908411</v>
      </c>
      <c r="E697" s="2">
        <v>47278916</v>
      </c>
      <c r="F697" s="2">
        <v>11314613</v>
      </c>
      <c r="G697" s="2">
        <f t="shared" si="20"/>
        <v>58593529</v>
      </c>
      <c r="H697">
        <f t="shared" si="21"/>
        <v>0.28047472439967963</v>
      </c>
    </row>
    <row r="698" spans="1:8">
      <c r="A698" t="s">
        <v>78</v>
      </c>
      <c r="B698">
        <v>25000</v>
      </c>
      <c r="C698" t="s">
        <v>42</v>
      </c>
      <c r="D698" s="2">
        <v>141458579</v>
      </c>
      <c r="E698" s="2">
        <v>32086142</v>
      </c>
      <c r="F698" s="2">
        <v>14412432</v>
      </c>
      <c r="G698" s="2">
        <f t="shared" si="20"/>
        <v>46498574</v>
      </c>
      <c r="H698">
        <f t="shared" si="21"/>
        <v>0.32870805241158263</v>
      </c>
    </row>
    <row r="699" spans="1:8">
      <c r="A699" t="s">
        <v>78</v>
      </c>
      <c r="B699">
        <v>26000</v>
      </c>
      <c r="C699" t="s">
        <v>43</v>
      </c>
      <c r="D699" s="2">
        <v>249199289</v>
      </c>
      <c r="E699" s="2">
        <v>28582312</v>
      </c>
      <c r="F699" s="2">
        <v>16904017</v>
      </c>
      <c r="G699" s="2">
        <f t="shared" si="20"/>
        <v>45486329</v>
      </c>
      <c r="H699">
        <f t="shared" si="21"/>
        <v>0.1825299308939842</v>
      </c>
    </row>
    <row r="700" spans="1:8">
      <c r="A700" t="s">
        <v>78</v>
      </c>
      <c r="B700">
        <v>27000</v>
      </c>
      <c r="C700" t="s">
        <v>44</v>
      </c>
      <c r="D700" s="2">
        <v>990905440</v>
      </c>
      <c r="E700" s="2">
        <v>69173398</v>
      </c>
      <c r="F700" s="2">
        <v>50645495</v>
      </c>
      <c r="G700" s="2">
        <f t="shared" si="20"/>
        <v>119818893</v>
      </c>
      <c r="H700">
        <f t="shared" si="21"/>
        <v>0.12091859441199555</v>
      </c>
    </row>
    <row r="701" spans="1:8">
      <c r="A701" t="s">
        <v>78</v>
      </c>
      <c r="B701">
        <v>28000</v>
      </c>
      <c r="C701" t="s">
        <v>45</v>
      </c>
      <c r="D701" s="2">
        <v>501143288</v>
      </c>
      <c r="E701" s="2">
        <v>89312884</v>
      </c>
      <c r="F701" s="2">
        <v>52942520</v>
      </c>
      <c r="G701" s="2">
        <f t="shared" si="20"/>
        <v>142255404</v>
      </c>
      <c r="H701">
        <f t="shared" si="21"/>
        <v>0.28386173656585023</v>
      </c>
    </row>
    <row r="702" spans="1:8">
      <c r="A702" t="s">
        <v>78</v>
      </c>
      <c r="B702">
        <v>29000</v>
      </c>
      <c r="C702" t="s">
        <v>46</v>
      </c>
      <c r="D702" s="2">
        <v>113016309</v>
      </c>
      <c r="E702" s="2">
        <v>34516162</v>
      </c>
      <c r="F702" s="2">
        <v>13821498</v>
      </c>
      <c r="G702" s="2">
        <f t="shared" si="20"/>
        <v>48337660</v>
      </c>
      <c r="H702">
        <f t="shared" si="21"/>
        <v>0.42770517306488925</v>
      </c>
    </row>
    <row r="703" spans="1:8">
      <c r="A703" t="s">
        <v>78</v>
      </c>
      <c r="B703">
        <v>30000</v>
      </c>
      <c r="C703" t="s">
        <v>47</v>
      </c>
      <c r="D703" s="2">
        <v>87101408</v>
      </c>
      <c r="E703" s="2">
        <v>42828750</v>
      </c>
      <c r="F703" s="2">
        <v>15506739</v>
      </c>
      <c r="G703" s="2">
        <f t="shared" si="20"/>
        <v>58335489</v>
      </c>
      <c r="H703">
        <f t="shared" si="21"/>
        <v>0.66974220439697141</v>
      </c>
    </row>
    <row r="704" spans="1:8">
      <c r="A704" t="s">
        <v>78</v>
      </c>
      <c r="B704">
        <v>31000</v>
      </c>
      <c r="C704" t="s">
        <v>48</v>
      </c>
      <c r="D704" s="2">
        <v>53957426</v>
      </c>
      <c r="E704" s="2">
        <v>31709870</v>
      </c>
      <c r="F704" s="2">
        <v>16966273</v>
      </c>
      <c r="G704" s="2">
        <f t="shared" si="20"/>
        <v>48676143</v>
      </c>
      <c r="H704">
        <f t="shared" si="21"/>
        <v>0.9021212946666507</v>
      </c>
    </row>
    <row r="705" spans="1:8">
      <c r="A705" t="s">
        <v>78</v>
      </c>
      <c r="B705">
        <v>32000</v>
      </c>
      <c r="C705" t="s">
        <v>49</v>
      </c>
      <c r="D705" s="2">
        <v>65928117</v>
      </c>
      <c r="E705" s="2">
        <v>65335855</v>
      </c>
      <c r="F705" s="2">
        <v>25755563</v>
      </c>
      <c r="G705" s="2">
        <f t="shared" si="20"/>
        <v>91091418</v>
      </c>
      <c r="H705">
        <f t="shared" si="21"/>
        <v>1.3816778355735535</v>
      </c>
    </row>
    <row r="706" spans="1:8">
      <c r="A706" t="s">
        <v>78</v>
      </c>
      <c r="B706">
        <v>33000</v>
      </c>
      <c r="C706" t="s">
        <v>50</v>
      </c>
      <c r="D706" s="2">
        <v>186209929</v>
      </c>
      <c r="E706" s="2">
        <v>43981632</v>
      </c>
      <c r="F706" s="2">
        <v>25548608</v>
      </c>
      <c r="G706" s="2">
        <f t="shared" si="20"/>
        <v>69530240</v>
      </c>
      <c r="H706">
        <f t="shared" si="21"/>
        <v>0.37339705983132621</v>
      </c>
    </row>
    <row r="707" spans="1:8">
      <c r="A707" t="s">
        <v>78</v>
      </c>
      <c r="B707">
        <v>34000</v>
      </c>
      <c r="C707" t="s">
        <v>51</v>
      </c>
      <c r="D707" s="2">
        <v>281008938</v>
      </c>
      <c r="E707" s="2">
        <v>67008071</v>
      </c>
      <c r="F707" s="2">
        <v>46528690</v>
      </c>
      <c r="G707" s="2">
        <f t="shared" ref="G707:G770" si="22">E707+F707</f>
        <v>113536761</v>
      </c>
      <c r="H707">
        <f t="shared" ref="H707:H770" si="23">G707/D707</f>
        <v>0.40403256141269073</v>
      </c>
    </row>
    <row r="708" spans="1:8">
      <c r="A708" t="s">
        <v>78</v>
      </c>
      <c r="B708">
        <v>35000</v>
      </c>
      <c r="C708" t="s">
        <v>52</v>
      </c>
      <c r="D708" s="2">
        <v>140933459</v>
      </c>
      <c r="E708" s="2">
        <v>63144298</v>
      </c>
      <c r="F708" s="2">
        <v>30991375</v>
      </c>
      <c r="G708" s="2">
        <f t="shared" si="22"/>
        <v>94135673</v>
      </c>
      <c r="H708">
        <f t="shared" si="23"/>
        <v>0.66794410403281168</v>
      </c>
    </row>
    <row r="709" spans="1:8">
      <c r="A709" t="s">
        <v>78</v>
      </c>
      <c r="B709">
        <v>36000</v>
      </c>
      <c r="C709" t="s">
        <v>53</v>
      </c>
      <c r="D709" s="2">
        <v>83582506</v>
      </c>
      <c r="E709" s="2">
        <v>48227798</v>
      </c>
      <c r="F709" s="2">
        <v>12569661</v>
      </c>
      <c r="G709" s="2">
        <f t="shared" si="22"/>
        <v>60797459</v>
      </c>
      <c r="H709">
        <f t="shared" si="23"/>
        <v>0.72739454593524633</v>
      </c>
    </row>
    <row r="710" spans="1:8">
      <c r="A710" t="s">
        <v>78</v>
      </c>
      <c r="B710">
        <v>37000</v>
      </c>
      <c r="C710" t="s">
        <v>54</v>
      </c>
      <c r="D710" s="2">
        <v>102315461</v>
      </c>
      <c r="E710" s="2">
        <v>20655762</v>
      </c>
      <c r="F710" s="2">
        <v>13550963</v>
      </c>
      <c r="G710" s="2">
        <f t="shared" si="22"/>
        <v>34206725</v>
      </c>
      <c r="H710">
        <f t="shared" si="23"/>
        <v>0.33432606045727536</v>
      </c>
    </row>
    <row r="711" spans="1:8">
      <c r="A711" t="s">
        <v>78</v>
      </c>
      <c r="B711">
        <v>38000</v>
      </c>
      <c r="C711" t="s">
        <v>55</v>
      </c>
      <c r="D711" s="2">
        <v>125856757</v>
      </c>
      <c r="E711" s="2">
        <v>49313852</v>
      </c>
      <c r="F711" s="2">
        <v>16360661</v>
      </c>
      <c r="G711" s="2">
        <f t="shared" si="22"/>
        <v>65674513</v>
      </c>
      <c r="H711">
        <f t="shared" si="23"/>
        <v>0.52181952376224028</v>
      </c>
    </row>
    <row r="712" spans="1:8">
      <c r="A712" t="s">
        <v>78</v>
      </c>
      <c r="B712">
        <v>39000</v>
      </c>
      <c r="C712" t="s">
        <v>56</v>
      </c>
      <c r="D712" s="2">
        <v>63663738</v>
      </c>
      <c r="E712" s="2">
        <v>55440392</v>
      </c>
      <c r="F712" s="2">
        <v>15425867</v>
      </c>
      <c r="G712" s="2">
        <f t="shared" si="22"/>
        <v>70866259</v>
      </c>
      <c r="H712">
        <f t="shared" si="23"/>
        <v>1.1131338062493283</v>
      </c>
    </row>
    <row r="713" spans="1:8">
      <c r="A713" t="s">
        <v>78</v>
      </c>
      <c r="B713">
        <v>40000</v>
      </c>
      <c r="C713" t="s">
        <v>57</v>
      </c>
      <c r="D713" s="2">
        <v>469018272</v>
      </c>
      <c r="E713" s="2">
        <v>67937513</v>
      </c>
      <c r="F713" s="2">
        <v>39883326</v>
      </c>
      <c r="G713" s="2">
        <f t="shared" si="22"/>
        <v>107820839</v>
      </c>
      <c r="H713">
        <f t="shared" si="23"/>
        <v>0.2298862228548742</v>
      </c>
    </row>
    <row r="714" spans="1:8">
      <c r="A714" t="s">
        <v>78</v>
      </c>
      <c r="B714">
        <v>41000</v>
      </c>
      <c r="C714" t="s">
        <v>58</v>
      </c>
      <c r="D714" s="2">
        <v>81241183</v>
      </c>
      <c r="E714" s="2">
        <v>37195008</v>
      </c>
      <c r="F714" s="2">
        <v>14446947</v>
      </c>
      <c r="G714" s="2">
        <f t="shared" si="22"/>
        <v>51641955</v>
      </c>
      <c r="H714">
        <f t="shared" si="23"/>
        <v>0.63566227242161155</v>
      </c>
    </row>
    <row r="715" spans="1:8">
      <c r="A715" t="s">
        <v>78</v>
      </c>
      <c r="B715">
        <v>42000</v>
      </c>
      <c r="C715" t="s">
        <v>59</v>
      </c>
      <c r="D715" s="2">
        <v>107182423</v>
      </c>
      <c r="E715" s="2">
        <v>88082150</v>
      </c>
      <c r="F715" s="2">
        <v>25311584</v>
      </c>
      <c r="G715" s="2">
        <f t="shared" si="22"/>
        <v>113393734</v>
      </c>
      <c r="H715">
        <f t="shared" si="23"/>
        <v>1.057950835838074</v>
      </c>
    </row>
    <row r="716" spans="1:8">
      <c r="A716" t="s">
        <v>78</v>
      </c>
      <c r="B716">
        <v>43000</v>
      </c>
      <c r="C716" t="s">
        <v>60</v>
      </c>
      <c r="D716" s="2">
        <v>151101903</v>
      </c>
      <c r="E716" s="2">
        <v>62468330</v>
      </c>
      <c r="F716" s="2">
        <v>23914937</v>
      </c>
      <c r="G716" s="2">
        <f t="shared" si="22"/>
        <v>86383267</v>
      </c>
      <c r="H716">
        <f t="shared" si="23"/>
        <v>0.57168880924021193</v>
      </c>
    </row>
    <row r="717" spans="1:8">
      <c r="A717" t="s">
        <v>78</v>
      </c>
      <c r="B717">
        <v>44000</v>
      </c>
      <c r="C717" t="s">
        <v>61</v>
      </c>
      <c r="D717" s="2">
        <v>102805294</v>
      </c>
      <c r="E717" s="2">
        <v>57020404</v>
      </c>
      <c r="F717" s="2">
        <v>17657518</v>
      </c>
      <c r="G717" s="2">
        <f t="shared" si="22"/>
        <v>74677922</v>
      </c>
      <c r="H717">
        <f t="shared" si="23"/>
        <v>0.72640152169595473</v>
      </c>
    </row>
    <row r="718" spans="1:8">
      <c r="A718" t="s">
        <v>78</v>
      </c>
      <c r="B718">
        <v>45000</v>
      </c>
      <c r="C718" t="s">
        <v>62</v>
      </c>
      <c r="D718" s="2">
        <v>91708754</v>
      </c>
      <c r="E718" s="2">
        <v>53025159</v>
      </c>
      <c r="F718" s="2">
        <v>27987106</v>
      </c>
      <c r="G718" s="2">
        <f t="shared" si="22"/>
        <v>81012265</v>
      </c>
      <c r="H718">
        <f t="shared" si="23"/>
        <v>0.8833645804412521</v>
      </c>
    </row>
    <row r="719" spans="1:8">
      <c r="A719" t="s">
        <v>78</v>
      </c>
      <c r="B719">
        <v>46000</v>
      </c>
      <c r="C719" t="s">
        <v>63</v>
      </c>
      <c r="D719" s="2">
        <v>138524795</v>
      </c>
      <c r="E719" s="2">
        <v>117841323</v>
      </c>
      <c r="F719" s="2">
        <v>34458027</v>
      </c>
      <c r="G719" s="2">
        <f t="shared" si="22"/>
        <v>152299350</v>
      </c>
      <c r="H719">
        <f t="shared" si="23"/>
        <v>1.0994374689383226</v>
      </c>
    </row>
    <row r="720" spans="1:8">
      <c r="A720" t="s">
        <v>78</v>
      </c>
      <c r="B720">
        <v>47000</v>
      </c>
      <c r="C720" t="s">
        <v>64</v>
      </c>
      <c r="D720" s="2">
        <v>92298036</v>
      </c>
      <c r="E720" s="2">
        <v>129882589</v>
      </c>
      <c r="F720" s="2">
        <v>21444115</v>
      </c>
      <c r="G720" s="2">
        <f t="shared" si="22"/>
        <v>151326704</v>
      </c>
      <c r="H720">
        <f t="shared" si="23"/>
        <v>1.6395441393790871</v>
      </c>
    </row>
    <row r="721" spans="1:8">
      <c r="A721" t="s">
        <v>79</v>
      </c>
      <c r="B721" s="1" t="s">
        <v>7</v>
      </c>
      <c r="C721" t="s">
        <v>8</v>
      </c>
      <c r="D721" s="2">
        <v>15556230323</v>
      </c>
      <c r="E721" s="2">
        <v>2930494240</v>
      </c>
      <c r="F721" s="2">
        <v>1586739385</v>
      </c>
      <c r="G721" s="2">
        <f t="shared" si="22"/>
        <v>4517233625</v>
      </c>
      <c r="H721">
        <f t="shared" si="23"/>
        <v>0.2903809940587751</v>
      </c>
    </row>
    <row r="722" spans="1:8">
      <c r="A722" t="s">
        <v>79</v>
      </c>
      <c r="B722" s="1" t="s">
        <v>9</v>
      </c>
      <c r="C722" t="s">
        <v>10</v>
      </c>
      <c r="D722" s="2">
        <v>558335310</v>
      </c>
      <c r="E722" s="2">
        <v>255795504</v>
      </c>
      <c r="F722" s="2">
        <v>97813739</v>
      </c>
      <c r="G722" s="2">
        <f t="shared" si="22"/>
        <v>353609243</v>
      </c>
      <c r="H722">
        <f t="shared" si="23"/>
        <v>0.63332774529341518</v>
      </c>
    </row>
    <row r="723" spans="1:8">
      <c r="A723" t="s">
        <v>79</v>
      </c>
      <c r="B723" s="1" t="s">
        <v>11</v>
      </c>
      <c r="C723" t="s">
        <v>12</v>
      </c>
      <c r="D723" s="2">
        <v>127263907</v>
      </c>
      <c r="E723" s="2">
        <v>73864831</v>
      </c>
      <c r="F723" s="2">
        <v>23721747</v>
      </c>
      <c r="G723" s="2">
        <f t="shared" si="22"/>
        <v>97586578</v>
      </c>
      <c r="H723">
        <f t="shared" si="23"/>
        <v>0.76680482550327489</v>
      </c>
    </row>
    <row r="724" spans="1:8">
      <c r="A724" t="s">
        <v>79</v>
      </c>
      <c r="B724" s="1" t="s">
        <v>13</v>
      </c>
      <c r="C724" t="s">
        <v>14</v>
      </c>
      <c r="D724" s="2">
        <v>121875845</v>
      </c>
      <c r="E724" s="2">
        <v>68348074</v>
      </c>
      <c r="F724" s="2">
        <v>32481707</v>
      </c>
      <c r="G724" s="2">
        <f t="shared" si="22"/>
        <v>100829781</v>
      </c>
      <c r="H724">
        <f t="shared" si="23"/>
        <v>0.82731554394556195</v>
      </c>
    </row>
    <row r="725" spans="1:8">
      <c r="A725" t="s">
        <v>79</v>
      </c>
      <c r="B725" s="1" t="s">
        <v>15</v>
      </c>
      <c r="C725" t="s">
        <v>16</v>
      </c>
      <c r="D725" s="2">
        <v>243472528</v>
      </c>
      <c r="E725" s="2">
        <v>42628084</v>
      </c>
      <c r="F725" s="2">
        <v>20889314</v>
      </c>
      <c r="G725" s="2">
        <f t="shared" si="22"/>
        <v>63517398</v>
      </c>
      <c r="H725">
        <f t="shared" si="23"/>
        <v>0.26088117013349449</v>
      </c>
    </row>
    <row r="726" spans="1:8">
      <c r="A726" t="s">
        <v>79</v>
      </c>
      <c r="B726" s="1" t="s">
        <v>17</v>
      </c>
      <c r="C726" t="s">
        <v>18</v>
      </c>
      <c r="D726" s="2">
        <v>97266679</v>
      </c>
      <c r="E726" s="2">
        <v>67783577</v>
      </c>
      <c r="F726" s="2">
        <v>25534376</v>
      </c>
      <c r="G726" s="2">
        <f t="shared" si="22"/>
        <v>93317953</v>
      </c>
      <c r="H726">
        <f t="shared" si="23"/>
        <v>0.95940309630598164</v>
      </c>
    </row>
    <row r="727" spans="1:8">
      <c r="A727" t="s">
        <v>79</v>
      </c>
      <c r="B727" s="1" t="s">
        <v>19</v>
      </c>
      <c r="C727" t="s">
        <v>20</v>
      </c>
      <c r="D727" s="2">
        <v>106477026</v>
      </c>
      <c r="E727" s="2">
        <v>40102382</v>
      </c>
      <c r="F727" s="2">
        <v>24090059</v>
      </c>
      <c r="G727" s="2">
        <f t="shared" si="22"/>
        <v>64192441</v>
      </c>
      <c r="H727">
        <f t="shared" si="23"/>
        <v>0.60287597626928457</v>
      </c>
    </row>
    <row r="728" spans="1:8">
      <c r="A728" t="s">
        <v>79</v>
      </c>
      <c r="B728" s="1" t="s">
        <v>21</v>
      </c>
      <c r="C728" t="s">
        <v>22</v>
      </c>
      <c r="D728" s="2">
        <v>210856634</v>
      </c>
      <c r="E728" s="2">
        <v>59724963</v>
      </c>
      <c r="F728" s="2">
        <v>32234283</v>
      </c>
      <c r="G728" s="2">
        <f t="shared" si="22"/>
        <v>91959246</v>
      </c>
      <c r="H728">
        <f t="shared" si="23"/>
        <v>0.43612213785030829</v>
      </c>
    </row>
    <row r="729" spans="1:8">
      <c r="A729" t="s">
        <v>79</v>
      </c>
      <c r="B729" s="1" t="s">
        <v>23</v>
      </c>
      <c r="C729" t="s">
        <v>24</v>
      </c>
      <c r="D729" s="2">
        <v>306873003</v>
      </c>
      <c r="E729" s="2">
        <v>43227155</v>
      </c>
      <c r="F729" s="2">
        <v>38400194</v>
      </c>
      <c r="G729" s="2">
        <f t="shared" si="22"/>
        <v>81627349</v>
      </c>
      <c r="H729">
        <f t="shared" si="23"/>
        <v>0.26599716560925368</v>
      </c>
    </row>
    <row r="730" spans="1:8">
      <c r="A730" t="s">
        <v>79</v>
      </c>
      <c r="B730" s="1" t="s">
        <v>25</v>
      </c>
      <c r="C730" t="s">
        <v>26</v>
      </c>
      <c r="D730" s="2">
        <v>218669482</v>
      </c>
      <c r="E730" s="2">
        <v>45924097</v>
      </c>
      <c r="F730" s="2">
        <v>29551562</v>
      </c>
      <c r="G730" s="2">
        <f t="shared" si="22"/>
        <v>75475659</v>
      </c>
      <c r="H730">
        <f t="shared" si="23"/>
        <v>0.34515863077775066</v>
      </c>
    </row>
    <row r="731" spans="1:8">
      <c r="A731" t="s">
        <v>79</v>
      </c>
      <c r="B731">
        <v>10000</v>
      </c>
      <c r="C731" t="s">
        <v>27</v>
      </c>
      <c r="D731" s="2">
        <v>212343828</v>
      </c>
      <c r="E731" s="2">
        <v>41661229</v>
      </c>
      <c r="F731" s="2">
        <v>26299114</v>
      </c>
      <c r="G731" s="2">
        <f t="shared" si="22"/>
        <v>67960343</v>
      </c>
      <c r="H731">
        <f t="shared" si="23"/>
        <v>0.32004859119333573</v>
      </c>
    </row>
    <row r="732" spans="1:8">
      <c r="A732" t="s">
        <v>79</v>
      </c>
      <c r="B732">
        <v>11000</v>
      </c>
      <c r="C732" t="s">
        <v>28</v>
      </c>
      <c r="D732" s="2">
        <v>618667484</v>
      </c>
      <c r="E732" s="2">
        <v>41571789</v>
      </c>
      <c r="F732" s="2">
        <v>48512672</v>
      </c>
      <c r="G732" s="2">
        <f t="shared" si="22"/>
        <v>90084461</v>
      </c>
      <c r="H732">
        <f t="shared" si="23"/>
        <v>0.14561046657496549</v>
      </c>
    </row>
    <row r="733" spans="1:8">
      <c r="A733" t="s">
        <v>79</v>
      </c>
      <c r="B733">
        <v>12000</v>
      </c>
      <c r="C733" t="s">
        <v>29</v>
      </c>
      <c r="D733" s="2">
        <v>559272671</v>
      </c>
      <c r="E733" s="2">
        <v>58994478</v>
      </c>
      <c r="F733" s="2">
        <v>53504084</v>
      </c>
      <c r="G733" s="2">
        <f t="shared" si="22"/>
        <v>112498562</v>
      </c>
      <c r="H733">
        <f t="shared" si="23"/>
        <v>0.20115154527191265</v>
      </c>
    </row>
    <row r="734" spans="1:8">
      <c r="A734" t="s">
        <v>79</v>
      </c>
      <c r="B734">
        <v>13000</v>
      </c>
      <c r="C734" t="s">
        <v>30</v>
      </c>
      <c r="D734" s="2">
        <v>4075330936</v>
      </c>
      <c r="E734" s="2">
        <v>109061742</v>
      </c>
      <c r="F734" s="2">
        <v>120334643</v>
      </c>
      <c r="G734" s="2">
        <f t="shared" si="22"/>
        <v>229396385</v>
      </c>
      <c r="H734">
        <f t="shared" si="23"/>
        <v>5.6289020107200445E-2</v>
      </c>
    </row>
    <row r="735" spans="1:8">
      <c r="A735" t="s">
        <v>79</v>
      </c>
      <c r="B735">
        <v>14000</v>
      </c>
      <c r="C735" t="s">
        <v>31</v>
      </c>
      <c r="D735" s="2">
        <v>884406393</v>
      </c>
      <c r="E735" s="2">
        <v>40719732</v>
      </c>
      <c r="F735" s="2">
        <v>46189197</v>
      </c>
      <c r="G735" s="2">
        <f t="shared" si="22"/>
        <v>86908929</v>
      </c>
      <c r="H735">
        <f t="shared" si="23"/>
        <v>9.8268092234380766E-2</v>
      </c>
    </row>
    <row r="736" spans="1:8">
      <c r="A736" t="s">
        <v>79</v>
      </c>
      <c r="B736">
        <v>15000</v>
      </c>
      <c r="C736" t="s">
        <v>32</v>
      </c>
      <c r="D736" s="2">
        <v>244262166</v>
      </c>
      <c r="E736" s="2">
        <v>116245178</v>
      </c>
      <c r="F736" s="2">
        <v>38467422</v>
      </c>
      <c r="G736" s="2">
        <f t="shared" si="22"/>
        <v>154712600</v>
      </c>
      <c r="H736">
        <f t="shared" si="23"/>
        <v>0.63338748908007314</v>
      </c>
    </row>
    <row r="737" spans="1:8">
      <c r="A737" t="s">
        <v>79</v>
      </c>
      <c r="B737">
        <v>16000</v>
      </c>
      <c r="C737" t="s">
        <v>33</v>
      </c>
      <c r="D737" s="2">
        <v>114211889</v>
      </c>
      <c r="E737" s="2">
        <v>37839200</v>
      </c>
      <c r="F737" s="2">
        <v>17895463</v>
      </c>
      <c r="G737" s="2">
        <f t="shared" si="22"/>
        <v>55734663</v>
      </c>
      <c r="H737">
        <f t="shared" si="23"/>
        <v>0.4879935310412386</v>
      </c>
    </row>
    <row r="738" spans="1:8">
      <c r="A738" t="s">
        <v>79</v>
      </c>
      <c r="B738">
        <v>17000</v>
      </c>
      <c r="C738" t="s">
        <v>34</v>
      </c>
      <c r="D738" s="2">
        <v>126733247</v>
      </c>
      <c r="E738" s="2">
        <v>49950618</v>
      </c>
      <c r="F738" s="2">
        <v>20638640</v>
      </c>
      <c r="G738" s="2">
        <f t="shared" si="22"/>
        <v>70589258</v>
      </c>
      <c r="H738">
        <f t="shared" si="23"/>
        <v>0.55699084234778584</v>
      </c>
    </row>
    <row r="739" spans="1:8">
      <c r="A739" t="s">
        <v>79</v>
      </c>
      <c r="B739">
        <v>18000</v>
      </c>
      <c r="C739" t="s">
        <v>35</v>
      </c>
      <c r="D739" s="2">
        <v>101044397</v>
      </c>
      <c r="E739" s="2">
        <v>41941576</v>
      </c>
      <c r="F739" s="2">
        <v>17284890</v>
      </c>
      <c r="G739" s="2">
        <f t="shared" si="22"/>
        <v>59226466</v>
      </c>
      <c r="H739">
        <f t="shared" si="23"/>
        <v>0.58614300009133613</v>
      </c>
    </row>
    <row r="740" spans="1:8">
      <c r="A740" t="s">
        <v>79</v>
      </c>
      <c r="B740">
        <v>19000</v>
      </c>
      <c r="C740" t="s">
        <v>36</v>
      </c>
      <c r="D740" s="2">
        <v>91498420</v>
      </c>
      <c r="E740" s="2">
        <v>52789334</v>
      </c>
      <c r="F740" s="2">
        <v>9901900</v>
      </c>
      <c r="G740" s="2">
        <f t="shared" si="22"/>
        <v>62691234</v>
      </c>
      <c r="H740">
        <f t="shared" si="23"/>
        <v>0.68516192957211719</v>
      </c>
    </row>
    <row r="741" spans="1:8">
      <c r="A741" t="s">
        <v>79</v>
      </c>
      <c r="B741">
        <v>20000</v>
      </c>
      <c r="C741" t="s">
        <v>37</v>
      </c>
      <c r="D741" s="2">
        <v>225350634</v>
      </c>
      <c r="E741" s="2">
        <v>57181752</v>
      </c>
      <c r="F741" s="2">
        <v>35275408</v>
      </c>
      <c r="G741" s="2">
        <f t="shared" si="22"/>
        <v>92457160</v>
      </c>
      <c r="H741">
        <f t="shared" si="23"/>
        <v>0.41028133961229502</v>
      </c>
    </row>
    <row r="742" spans="1:8">
      <c r="A742" t="s">
        <v>79</v>
      </c>
      <c r="B742">
        <v>21000</v>
      </c>
      <c r="C742" t="s">
        <v>38</v>
      </c>
      <c r="D742" s="2">
        <v>210924710</v>
      </c>
      <c r="E742" s="2">
        <v>61281577</v>
      </c>
      <c r="F742" s="2">
        <v>32886130</v>
      </c>
      <c r="G742" s="2">
        <f t="shared" si="22"/>
        <v>94167707</v>
      </c>
      <c r="H742">
        <f t="shared" si="23"/>
        <v>0.44645175522583391</v>
      </c>
    </row>
    <row r="743" spans="1:8">
      <c r="A743" t="s">
        <v>79</v>
      </c>
      <c r="B743">
        <v>22000</v>
      </c>
      <c r="C743" t="s">
        <v>39</v>
      </c>
      <c r="D743" s="2">
        <v>439358500</v>
      </c>
      <c r="E743" s="2">
        <v>63384510</v>
      </c>
      <c r="F743" s="2">
        <v>33127163</v>
      </c>
      <c r="G743" s="2">
        <f t="shared" si="22"/>
        <v>96511673</v>
      </c>
      <c r="H743">
        <f t="shared" si="23"/>
        <v>0.21966497290936673</v>
      </c>
    </row>
    <row r="744" spans="1:8">
      <c r="A744" t="s">
        <v>79</v>
      </c>
      <c r="B744">
        <v>23000</v>
      </c>
      <c r="C744" t="s">
        <v>40</v>
      </c>
      <c r="D744" s="2">
        <v>999456509</v>
      </c>
      <c r="E744" s="2">
        <v>78487912</v>
      </c>
      <c r="F744" s="2">
        <v>49768572</v>
      </c>
      <c r="G744" s="2">
        <f t="shared" si="22"/>
        <v>128256484</v>
      </c>
      <c r="H744">
        <f t="shared" si="23"/>
        <v>0.1283262281500635</v>
      </c>
    </row>
    <row r="745" spans="1:8">
      <c r="A745" t="s">
        <v>79</v>
      </c>
      <c r="B745">
        <v>24000</v>
      </c>
      <c r="C745" t="s">
        <v>41</v>
      </c>
      <c r="D745" s="2">
        <v>204251554</v>
      </c>
      <c r="E745" s="2">
        <v>43333759</v>
      </c>
      <c r="F745" s="2">
        <v>13882317</v>
      </c>
      <c r="G745" s="2">
        <f t="shared" si="22"/>
        <v>57216076</v>
      </c>
      <c r="H745">
        <f t="shared" si="23"/>
        <v>0.28012553578906918</v>
      </c>
    </row>
    <row r="746" spans="1:8">
      <c r="A746" t="s">
        <v>79</v>
      </c>
      <c r="B746">
        <v>25000</v>
      </c>
      <c r="C746" t="s">
        <v>42</v>
      </c>
      <c r="D746" s="2">
        <v>136835922</v>
      </c>
      <c r="E746" s="2">
        <v>27666850</v>
      </c>
      <c r="F746" s="2">
        <v>19690581</v>
      </c>
      <c r="G746" s="2">
        <f t="shared" si="22"/>
        <v>47357431</v>
      </c>
      <c r="H746">
        <f t="shared" si="23"/>
        <v>0.34608917240313547</v>
      </c>
    </row>
    <row r="747" spans="1:8">
      <c r="A747" t="s">
        <v>79</v>
      </c>
      <c r="B747">
        <v>26000</v>
      </c>
      <c r="C747" t="s">
        <v>43</v>
      </c>
      <c r="D747" s="2">
        <v>254206862</v>
      </c>
      <c r="E747" s="2">
        <v>25679047</v>
      </c>
      <c r="F747" s="2">
        <v>21989386</v>
      </c>
      <c r="G747" s="2">
        <f t="shared" si="22"/>
        <v>47668433</v>
      </c>
      <c r="H747">
        <f t="shared" si="23"/>
        <v>0.18751827792909856</v>
      </c>
    </row>
    <row r="748" spans="1:8">
      <c r="A748" t="s">
        <v>79</v>
      </c>
      <c r="B748">
        <v>27000</v>
      </c>
      <c r="C748" t="s">
        <v>44</v>
      </c>
      <c r="D748" s="2">
        <v>1006953687</v>
      </c>
      <c r="E748" s="2">
        <v>78981697</v>
      </c>
      <c r="F748" s="2">
        <v>70228564</v>
      </c>
      <c r="G748" s="2">
        <f t="shared" si="22"/>
        <v>149210261</v>
      </c>
      <c r="H748">
        <f t="shared" si="23"/>
        <v>0.14817986460185631</v>
      </c>
    </row>
    <row r="749" spans="1:8">
      <c r="A749" t="s">
        <v>79</v>
      </c>
      <c r="B749">
        <v>28000</v>
      </c>
      <c r="C749" t="s">
        <v>45</v>
      </c>
      <c r="D749" s="2">
        <v>516069807</v>
      </c>
      <c r="E749" s="2">
        <v>81028202</v>
      </c>
      <c r="F749" s="2">
        <v>65959188</v>
      </c>
      <c r="G749" s="2">
        <f t="shared" si="22"/>
        <v>146987390</v>
      </c>
      <c r="H749">
        <f t="shared" si="23"/>
        <v>0.28482075100355558</v>
      </c>
    </row>
    <row r="750" spans="1:8">
      <c r="A750" t="s">
        <v>79</v>
      </c>
      <c r="B750">
        <v>29000</v>
      </c>
      <c r="C750" t="s">
        <v>46</v>
      </c>
      <c r="D750" s="2">
        <v>108647393</v>
      </c>
      <c r="E750" s="2">
        <v>31727744</v>
      </c>
      <c r="F750" s="2">
        <v>15309397</v>
      </c>
      <c r="G750" s="2">
        <f t="shared" si="22"/>
        <v>47037141</v>
      </c>
      <c r="H750">
        <f t="shared" si="23"/>
        <v>0.43293391310364898</v>
      </c>
    </row>
    <row r="751" spans="1:8">
      <c r="A751" t="s">
        <v>79</v>
      </c>
      <c r="B751">
        <v>30000</v>
      </c>
      <c r="C751" t="s">
        <v>47</v>
      </c>
      <c r="D751" s="2">
        <v>87707711</v>
      </c>
      <c r="E751" s="2">
        <v>43584267</v>
      </c>
      <c r="F751" s="2">
        <v>16998785</v>
      </c>
      <c r="G751" s="2">
        <f t="shared" si="22"/>
        <v>60583052</v>
      </c>
      <c r="H751">
        <f t="shared" si="23"/>
        <v>0.69073803556451263</v>
      </c>
    </row>
    <row r="752" spans="1:8">
      <c r="A752" t="s">
        <v>79</v>
      </c>
      <c r="B752">
        <v>31000</v>
      </c>
      <c r="C752" t="s">
        <v>48</v>
      </c>
      <c r="D752" s="2">
        <v>55021544</v>
      </c>
      <c r="E752" s="2">
        <v>31549388</v>
      </c>
      <c r="F752" s="2">
        <v>18663281</v>
      </c>
      <c r="G752" s="2">
        <f t="shared" si="22"/>
        <v>50212669</v>
      </c>
      <c r="H752">
        <f t="shared" si="23"/>
        <v>0.91260014440888826</v>
      </c>
    </row>
    <row r="753" spans="1:8">
      <c r="A753" t="s">
        <v>79</v>
      </c>
      <c r="B753">
        <v>32000</v>
      </c>
      <c r="C753" t="s">
        <v>49</v>
      </c>
      <c r="D753" s="2">
        <v>67212947</v>
      </c>
      <c r="E753" s="2">
        <v>68340604</v>
      </c>
      <c r="F753" s="2">
        <v>27802225</v>
      </c>
      <c r="G753" s="2">
        <f t="shared" si="22"/>
        <v>96142829</v>
      </c>
      <c r="H753">
        <f t="shared" si="23"/>
        <v>1.4304212698782572</v>
      </c>
    </row>
    <row r="754" spans="1:8">
      <c r="A754" t="s">
        <v>79</v>
      </c>
      <c r="B754">
        <v>33000</v>
      </c>
      <c r="C754" t="s">
        <v>50</v>
      </c>
      <c r="D754" s="2">
        <v>181614763</v>
      </c>
      <c r="E754" s="2">
        <v>41813932</v>
      </c>
      <c r="F754" s="2">
        <v>26608789</v>
      </c>
      <c r="G754" s="2">
        <f t="shared" si="22"/>
        <v>68422721</v>
      </c>
      <c r="H754">
        <f t="shared" si="23"/>
        <v>0.37674647077011025</v>
      </c>
    </row>
    <row r="755" spans="1:8">
      <c r="A755" t="s">
        <v>79</v>
      </c>
      <c r="B755">
        <v>34000</v>
      </c>
      <c r="C755" t="s">
        <v>51</v>
      </c>
      <c r="D755" s="2">
        <v>278301676</v>
      </c>
      <c r="E755" s="2">
        <v>60910942</v>
      </c>
      <c r="F755" s="2">
        <v>56038424</v>
      </c>
      <c r="G755" s="2">
        <f t="shared" si="22"/>
        <v>116949366</v>
      </c>
      <c r="H755">
        <f t="shared" si="23"/>
        <v>0.42022515883087963</v>
      </c>
    </row>
    <row r="756" spans="1:8">
      <c r="A756" t="s">
        <v>79</v>
      </c>
      <c r="B756">
        <v>35000</v>
      </c>
      <c r="C756" t="s">
        <v>52</v>
      </c>
      <c r="D756" s="2">
        <v>145330182</v>
      </c>
      <c r="E756" s="2">
        <v>57958734</v>
      </c>
      <c r="F756" s="2">
        <v>33006330</v>
      </c>
      <c r="G756" s="2">
        <f t="shared" si="22"/>
        <v>90965064</v>
      </c>
      <c r="H756">
        <f t="shared" si="23"/>
        <v>0.62591997579690639</v>
      </c>
    </row>
    <row r="757" spans="1:8">
      <c r="A757" t="s">
        <v>79</v>
      </c>
      <c r="B757">
        <v>36000</v>
      </c>
      <c r="C757" t="s">
        <v>53</v>
      </c>
      <c r="D757" s="2">
        <v>82054338</v>
      </c>
      <c r="E757" s="2">
        <v>49852675</v>
      </c>
      <c r="F757" s="2">
        <v>15960997</v>
      </c>
      <c r="G757" s="2">
        <f t="shared" si="22"/>
        <v>65813672</v>
      </c>
      <c r="H757">
        <f t="shared" si="23"/>
        <v>0.80207425474567839</v>
      </c>
    </row>
    <row r="758" spans="1:8">
      <c r="A758" t="s">
        <v>79</v>
      </c>
      <c r="B758">
        <v>37000</v>
      </c>
      <c r="C758" t="s">
        <v>54</v>
      </c>
      <c r="D758" s="2">
        <v>103120295</v>
      </c>
      <c r="E758" s="2">
        <v>23029815</v>
      </c>
      <c r="F758" s="2">
        <v>17400219</v>
      </c>
      <c r="G758" s="2">
        <f t="shared" si="22"/>
        <v>40430034</v>
      </c>
      <c r="H758">
        <f t="shared" si="23"/>
        <v>0.39206670229172635</v>
      </c>
    </row>
    <row r="759" spans="1:8">
      <c r="A759" t="s">
        <v>79</v>
      </c>
      <c r="B759">
        <v>38000</v>
      </c>
      <c r="C759" t="s">
        <v>55</v>
      </c>
      <c r="D759" s="2">
        <v>127647130</v>
      </c>
      <c r="E759" s="2">
        <v>52138579</v>
      </c>
      <c r="F759" s="2">
        <v>20696698</v>
      </c>
      <c r="G759" s="2">
        <f t="shared" si="22"/>
        <v>72835277</v>
      </c>
      <c r="H759">
        <f t="shared" si="23"/>
        <v>0.57059862607173384</v>
      </c>
    </row>
    <row r="760" spans="1:8">
      <c r="A760" t="s">
        <v>79</v>
      </c>
      <c r="B760">
        <v>39000</v>
      </c>
      <c r="C760" t="s">
        <v>56</v>
      </c>
      <c r="D760" s="2">
        <v>65260178</v>
      </c>
      <c r="E760" s="2">
        <v>55186893</v>
      </c>
      <c r="F760" s="2">
        <v>18013509</v>
      </c>
      <c r="G760" s="2">
        <f t="shared" si="22"/>
        <v>73200402</v>
      </c>
      <c r="H760">
        <f t="shared" si="23"/>
        <v>1.1216702780062904</v>
      </c>
    </row>
    <row r="761" spans="1:8">
      <c r="A761" t="s">
        <v>79</v>
      </c>
      <c r="B761">
        <v>40000</v>
      </c>
      <c r="C761" t="s">
        <v>57</v>
      </c>
      <c r="D761" s="2">
        <v>472518695</v>
      </c>
      <c r="E761" s="2">
        <v>63500828</v>
      </c>
      <c r="F761" s="2">
        <v>59490234</v>
      </c>
      <c r="G761" s="2">
        <f t="shared" si="22"/>
        <v>122991062</v>
      </c>
      <c r="H761">
        <f t="shared" si="23"/>
        <v>0.26028824531482292</v>
      </c>
    </row>
    <row r="762" spans="1:8">
      <c r="A762" t="s">
        <v>79</v>
      </c>
      <c r="B762">
        <v>41000</v>
      </c>
      <c r="C762" t="s">
        <v>58</v>
      </c>
      <c r="D762" s="2">
        <v>81599206</v>
      </c>
      <c r="E762" s="2">
        <v>36709444</v>
      </c>
      <c r="F762" s="2">
        <v>18596108</v>
      </c>
      <c r="G762" s="2">
        <f t="shared" si="22"/>
        <v>55305552</v>
      </c>
      <c r="H762">
        <f t="shared" si="23"/>
        <v>0.67777071262188504</v>
      </c>
    </row>
    <row r="763" spans="1:8">
      <c r="A763" t="s">
        <v>79</v>
      </c>
      <c r="B763">
        <v>42000</v>
      </c>
      <c r="C763" t="s">
        <v>59</v>
      </c>
      <c r="D763" s="2">
        <v>110001610</v>
      </c>
      <c r="E763" s="2">
        <v>91060343</v>
      </c>
      <c r="F763" s="2">
        <v>30693833</v>
      </c>
      <c r="G763" s="2">
        <f t="shared" si="22"/>
        <v>121754176</v>
      </c>
      <c r="H763">
        <f t="shared" si="23"/>
        <v>1.1068399453426181</v>
      </c>
    </row>
    <row r="764" spans="1:8">
      <c r="A764" t="s">
        <v>79</v>
      </c>
      <c r="B764">
        <v>43000</v>
      </c>
      <c r="C764" t="s">
        <v>60</v>
      </c>
      <c r="D764" s="2">
        <v>150950792</v>
      </c>
      <c r="E764" s="2">
        <v>57269158</v>
      </c>
      <c r="F764" s="2">
        <v>26988040</v>
      </c>
      <c r="G764" s="2">
        <f t="shared" si="22"/>
        <v>84257198</v>
      </c>
      <c r="H764">
        <f t="shared" si="23"/>
        <v>0.55817658777172896</v>
      </c>
    </row>
    <row r="765" spans="1:8">
      <c r="A765" t="s">
        <v>79</v>
      </c>
      <c r="B765">
        <v>44000</v>
      </c>
      <c r="C765" t="s">
        <v>61</v>
      </c>
      <c r="D765" s="2">
        <v>102561714</v>
      </c>
      <c r="E765" s="2">
        <v>62960086</v>
      </c>
      <c r="F765" s="2">
        <v>24852813</v>
      </c>
      <c r="G765" s="2">
        <f t="shared" si="22"/>
        <v>87812899</v>
      </c>
      <c r="H765">
        <f t="shared" si="23"/>
        <v>0.85619570476367035</v>
      </c>
    </row>
    <row r="766" spans="1:8">
      <c r="A766" t="s">
        <v>79</v>
      </c>
      <c r="B766">
        <v>45000</v>
      </c>
      <c r="C766" t="s">
        <v>62</v>
      </c>
      <c r="D766" s="2">
        <v>92685235</v>
      </c>
      <c r="E766" s="2">
        <v>54855310</v>
      </c>
      <c r="F766" s="2">
        <v>32354146</v>
      </c>
      <c r="G766" s="2">
        <f t="shared" si="22"/>
        <v>87209456</v>
      </c>
      <c r="H766">
        <f t="shared" si="23"/>
        <v>0.94092069788677779</v>
      </c>
    </row>
    <row r="767" spans="1:8">
      <c r="A767" t="s">
        <v>79</v>
      </c>
      <c r="B767">
        <v>46000</v>
      </c>
      <c r="C767" t="s">
        <v>63</v>
      </c>
      <c r="D767" s="2">
        <v>139055592</v>
      </c>
      <c r="E767" s="2">
        <v>120551879</v>
      </c>
      <c r="F767" s="2">
        <v>33870684</v>
      </c>
      <c r="G767" s="2">
        <f t="shared" si="22"/>
        <v>154422563</v>
      </c>
      <c r="H767">
        <f t="shared" si="23"/>
        <v>1.1105095507414042</v>
      </c>
    </row>
    <row r="768" spans="1:8">
      <c r="A768" t="s">
        <v>79</v>
      </c>
      <c r="B768">
        <v>47000</v>
      </c>
      <c r="C768" t="s">
        <v>64</v>
      </c>
      <c r="D768" s="2">
        <v>92669292</v>
      </c>
      <c r="E768" s="2">
        <v>122294770</v>
      </c>
      <c r="F768" s="2">
        <v>26842558</v>
      </c>
      <c r="G768" s="2">
        <f t="shared" si="22"/>
        <v>149137328</v>
      </c>
      <c r="H768">
        <f t="shared" si="23"/>
        <v>1.6093500315077405</v>
      </c>
    </row>
    <row r="769" spans="1:8">
      <c r="A769" t="s">
        <v>80</v>
      </c>
      <c r="B769" s="1" t="s">
        <v>7</v>
      </c>
      <c r="C769" t="s">
        <v>8</v>
      </c>
      <c r="D769" s="2">
        <v>17406306441</v>
      </c>
      <c r="E769" s="2">
        <v>3694478046</v>
      </c>
      <c r="F769" s="2">
        <v>1957688287</v>
      </c>
      <c r="G769" s="2">
        <f t="shared" si="22"/>
        <v>5652166333</v>
      </c>
      <c r="H769">
        <f t="shared" si="23"/>
        <v>0.32471945453554135</v>
      </c>
    </row>
    <row r="770" spans="1:8">
      <c r="A770" t="s">
        <v>80</v>
      </c>
      <c r="B770" s="1" t="s">
        <v>9</v>
      </c>
      <c r="C770" t="s">
        <v>10</v>
      </c>
      <c r="D770" s="2">
        <v>604409322</v>
      </c>
      <c r="E770" s="2">
        <v>326820631</v>
      </c>
      <c r="F770" s="2">
        <v>118516514</v>
      </c>
      <c r="G770" s="2">
        <f t="shared" si="22"/>
        <v>445337145</v>
      </c>
      <c r="H770">
        <f t="shared" si="23"/>
        <v>0.73681382597868006</v>
      </c>
    </row>
    <row r="771" spans="1:8">
      <c r="A771" t="s">
        <v>80</v>
      </c>
      <c r="B771" s="1" t="s">
        <v>11</v>
      </c>
      <c r="C771" t="s">
        <v>12</v>
      </c>
      <c r="D771" s="2">
        <v>144355910</v>
      </c>
      <c r="E771" s="2">
        <v>94826211</v>
      </c>
      <c r="F771" s="2">
        <v>28262182</v>
      </c>
      <c r="G771" s="2">
        <f t="shared" ref="G771:G834" si="24">E771+F771</f>
        <v>123088393</v>
      </c>
      <c r="H771">
        <f t="shared" ref="H771:H834" si="25">G771/D771</f>
        <v>0.85267304262083898</v>
      </c>
    </row>
    <row r="772" spans="1:8">
      <c r="A772" t="s">
        <v>80</v>
      </c>
      <c r="B772" s="1" t="s">
        <v>13</v>
      </c>
      <c r="C772" t="s">
        <v>14</v>
      </c>
      <c r="D772" s="2">
        <v>136881767</v>
      </c>
      <c r="E772" s="2">
        <v>94132166</v>
      </c>
      <c r="F772" s="2">
        <v>36448654</v>
      </c>
      <c r="G772" s="2">
        <f t="shared" si="24"/>
        <v>130580820</v>
      </c>
      <c r="H772">
        <f t="shared" si="25"/>
        <v>0.95396795980870119</v>
      </c>
    </row>
    <row r="773" spans="1:8">
      <c r="A773" t="s">
        <v>80</v>
      </c>
      <c r="B773" s="1" t="s">
        <v>15</v>
      </c>
      <c r="C773" t="s">
        <v>16</v>
      </c>
      <c r="D773" s="2">
        <v>268593505</v>
      </c>
      <c r="E773" s="2">
        <v>54656627</v>
      </c>
      <c r="F773" s="2">
        <v>27615896</v>
      </c>
      <c r="G773" s="2">
        <f t="shared" si="24"/>
        <v>82272523</v>
      </c>
      <c r="H773">
        <f t="shared" si="25"/>
        <v>0.30630868382316245</v>
      </c>
    </row>
    <row r="774" spans="1:8">
      <c r="A774" t="s">
        <v>80</v>
      </c>
      <c r="B774" s="1" t="s">
        <v>17</v>
      </c>
      <c r="C774" t="s">
        <v>18</v>
      </c>
      <c r="D774" s="2">
        <v>111643394</v>
      </c>
      <c r="E774" s="2">
        <v>94304260</v>
      </c>
      <c r="F774" s="2">
        <v>29537003</v>
      </c>
      <c r="G774" s="2">
        <f t="shared" si="24"/>
        <v>123841263</v>
      </c>
      <c r="H774">
        <f t="shared" si="25"/>
        <v>1.1092574183117363</v>
      </c>
    </row>
    <row r="775" spans="1:8">
      <c r="A775" t="s">
        <v>80</v>
      </c>
      <c r="B775" s="1" t="s">
        <v>19</v>
      </c>
      <c r="C775" t="s">
        <v>20</v>
      </c>
      <c r="D775" s="2">
        <v>122916953</v>
      </c>
      <c r="E775" s="2">
        <v>56531771</v>
      </c>
      <c r="F775" s="2">
        <v>31356646</v>
      </c>
      <c r="G775" s="2">
        <f t="shared" si="24"/>
        <v>87888417</v>
      </c>
      <c r="H775">
        <f t="shared" si="25"/>
        <v>0.71502274385210318</v>
      </c>
    </row>
    <row r="776" spans="1:8">
      <c r="A776" t="s">
        <v>80</v>
      </c>
      <c r="B776" s="1" t="s">
        <v>21</v>
      </c>
      <c r="C776" t="s">
        <v>22</v>
      </c>
      <c r="D776" s="2">
        <v>239517373</v>
      </c>
      <c r="E776" s="2">
        <v>81572124</v>
      </c>
      <c r="F776" s="2">
        <v>37282757</v>
      </c>
      <c r="G776" s="2">
        <f t="shared" si="24"/>
        <v>118854881</v>
      </c>
      <c r="H776">
        <f t="shared" si="25"/>
        <v>0.4962265555576213</v>
      </c>
    </row>
    <row r="777" spans="1:8">
      <c r="A777" t="s">
        <v>80</v>
      </c>
      <c r="B777" s="1" t="s">
        <v>23</v>
      </c>
      <c r="C777" t="s">
        <v>24</v>
      </c>
      <c r="D777" s="2">
        <v>352328094</v>
      </c>
      <c r="E777" s="2">
        <v>57039668</v>
      </c>
      <c r="F777" s="2">
        <v>48201653</v>
      </c>
      <c r="G777" s="2">
        <f t="shared" si="24"/>
        <v>105241321</v>
      </c>
      <c r="H777">
        <f t="shared" si="25"/>
        <v>0.29870260927872533</v>
      </c>
    </row>
    <row r="778" spans="1:8">
      <c r="A778" t="s">
        <v>80</v>
      </c>
      <c r="B778" s="1" t="s">
        <v>25</v>
      </c>
      <c r="C778" t="s">
        <v>26</v>
      </c>
      <c r="D778" s="2">
        <v>246079727</v>
      </c>
      <c r="E778" s="2">
        <v>60433035</v>
      </c>
      <c r="F778" s="2">
        <v>36340509</v>
      </c>
      <c r="G778" s="2">
        <f t="shared" si="24"/>
        <v>96773544</v>
      </c>
      <c r="H778">
        <f t="shared" si="25"/>
        <v>0.39326093693203745</v>
      </c>
    </row>
    <row r="779" spans="1:8">
      <c r="A779" t="s">
        <v>80</v>
      </c>
      <c r="B779">
        <v>10000</v>
      </c>
      <c r="C779" t="s">
        <v>27</v>
      </c>
      <c r="D779" s="2">
        <v>240642832</v>
      </c>
      <c r="E779" s="2">
        <v>51976071</v>
      </c>
      <c r="F779" s="2">
        <v>30933734</v>
      </c>
      <c r="G779" s="2">
        <f t="shared" si="24"/>
        <v>82909805</v>
      </c>
      <c r="H779">
        <f t="shared" si="25"/>
        <v>0.34453469613422766</v>
      </c>
    </row>
    <row r="780" spans="1:8">
      <c r="A780" t="s">
        <v>80</v>
      </c>
      <c r="B780">
        <v>11000</v>
      </c>
      <c r="C780" t="s">
        <v>28</v>
      </c>
      <c r="D780" s="2">
        <v>689697451</v>
      </c>
      <c r="E780" s="2">
        <v>56943404</v>
      </c>
      <c r="F780" s="2">
        <v>65194309</v>
      </c>
      <c r="G780" s="2">
        <f t="shared" si="24"/>
        <v>122137713</v>
      </c>
      <c r="H780">
        <f t="shared" si="25"/>
        <v>0.17708882760536693</v>
      </c>
    </row>
    <row r="781" spans="1:8">
      <c r="A781" t="s">
        <v>80</v>
      </c>
      <c r="B781">
        <v>12000</v>
      </c>
      <c r="C781" t="s">
        <v>29</v>
      </c>
      <c r="D781" s="2">
        <v>624092795</v>
      </c>
      <c r="E781" s="2">
        <v>69387231</v>
      </c>
      <c r="F781" s="2">
        <v>67942124</v>
      </c>
      <c r="G781" s="2">
        <f t="shared" si="24"/>
        <v>137329355</v>
      </c>
      <c r="H781">
        <f t="shared" si="25"/>
        <v>0.22004637146948636</v>
      </c>
    </row>
    <row r="782" spans="1:8">
      <c r="A782" t="s">
        <v>80</v>
      </c>
      <c r="B782">
        <v>13000</v>
      </c>
      <c r="C782" t="s">
        <v>30</v>
      </c>
      <c r="D782" s="2">
        <v>4400914285</v>
      </c>
      <c r="E782" s="2">
        <v>127710384</v>
      </c>
      <c r="F782" s="2">
        <v>132015826</v>
      </c>
      <c r="G782" s="2">
        <f t="shared" si="24"/>
        <v>259726210</v>
      </c>
      <c r="H782">
        <f t="shared" si="25"/>
        <v>5.9016420948084881E-2</v>
      </c>
    </row>
    <row r="783" spans="1:8">
      <c r="A783" t="s">
        <v>80</v>
      </c>
      <c r="B783">
        <v>14000</v>
      </c>
      <c r="C783" t="s">
        <v>31</v>
      </c>
      <c r="D783" s="2">
        <v>1013575183</v>
      </c>
      <c r="E783" s="2">
        <v>51113911</v>
      </c>
      <c r="F783" s="2">
        <v>68982995</v>
      </c>
      <c r="G783" s="2">
        <f t="shared" si="24"/>
        <v>120096906</v>
      </c>
      <c r="H783">
        <f t="shared" si="25"/>
        <v>0.11848840422921049</v>
      </c>
    </row>
    <row r="784" spans="1:8">
      <c r="A784" t="s">
        <v>80</v>
      </c>
      <c r="B784">
        <v>15000</v>
      </c>
      <c r="C784" t="s">
        <v>32</v>
      </c>
      <c r="D784" s="2">
        <v>276736749</v>
      </c>
      <c r="E784" s="2">
        <v>151570878</v>
      </c>
      <c r="F784" s="2">
        <v>48437162</v>
      </c>
      <c r="G784" s="2">
        <f t="shared" si="24"/>
        <v>200008040</v>
      </c>
      <c r="H784">
        <f t="shared" si="25"/>
        <v>0.72273755011843399</v>
      </c>
    </row>
    <row r="785" spans="1:8">
      <c r="A785" t="s">
        <v>80</v>
      </c>
      <c r="B785">
        <v>16000</v>
      </c>
      <c r="C785" t="s">
        <v>33</v>
      </c>
      <c r="D785" s="2">
        <v>130843292</v>
      </c>
      <c r="E785" s="2">
        <v>48341260</v>
      </c>
      <c r="F785" s="2">
        <v>21549854</v>
      </c>
      <c r="G785" s="2">
        <f t="shared" si="24"/>
        <v>69891114</v>
      </c>
      <c r="H785">
        <f t="shared" si="25"/>
        <v>0.53415893877081599</v>
      </c>
    </row>
    <row r="786" spans="1:8">
      <c r="A786" t="s">
        <v>80</v>
      </c>
      <c r="B786">
        <v>17000</v>
      </c>
      <c r="C786" t="s">
        <v>34</v>
      </c>
      <c r="D786" s="2">
        <v>144296650</v>
      </c>
      <c r="E786" s="2">
        <v>66924998</v>
      </c>
      <c r="F786" s="2">
        <v>21875697</v>
      </c>
      <c r="G786" s="2">
        <f t="shared" si="24"/>
        <v>88800695</v>
      </c>
      <c r="H786">
        <f t="shared" si="25"/>
        <v>0.61540371865874921</v>
      </c>
    </row>
    <row r="787" spans="1:8">
      <c r="A787" t="s">
        <v>80</v>
      </c>
      <c r="B787">
        <v>18000</v>
      </c>
      <c r="C787" t="s">
        <v>35</v>
      </c>
      <c r="D787" s="2">
        <v>118520612</v>
      </c>
      <c r="E787" s="2">
        <v>56654438</v>
      </c>
      <c r="F787" s="2">
        <v>20620545</v>
      </c>
      <c r="G787" s="2">
        <f t="shared" si="24"/>
        <v>77274983</v>
      </c>
      <c r="H787">
        <f t="shared" si="25"/>
        <v>0.6519961523654636</v>
      </c>
    </row>
    <row r="788" spans="1:8">
      <c r="A788" t="s">
        <v>80</v>
      </c>
      <c r="B788">
        <v>19000</v>
      </c>
      <c r="C788" t="s">
        <v>36</v>
      </c>
      <c r="D788" s="2">
        <v>110782887</v>
      </c>
      <c r="E788" s="2">
        <v>65847559</v>
      </c>
      <c r="F788" s="2">
        <v>13073588</v>
      </c>
      <c r="G788" s="2">
        <f t="shared" si="24"/>
        <v>78921147</v>
      </c>
      <c r="H788">
        <f t="shared" si="25"/>
        <v>0.71239474919984713</v>
      </c>
    </row>
    <row r="789" spans="1:8">
      <c r="A789" t="s">
        <v>80</v>
      </c>
      <c r="B789">
        <v>20000</v>
      </c>
      <c r="C789" t="s">
        <v>37</v>
      </c>
      <c r="D789" s="2">
        <v>270747204</v>
      </c>
      <c r="E789" s="2">
        <v>87093430</v>
      </c>
      <c r="F789" s="2">
        <v>42562080</v>
      </c>
      <c r="G789" s="2">
        <f t="shared" si="24"/>
        <v>129655510</v>
      </c>
      <c r="H789">
        <f t="shared" si="25"/>
        <v>0.47888032852963458</v>
      </c>
    </row>
    <row r="790" spans="1:8">
      <c r="A790" t="s">
        <v>80</v>
      </c>
      <c r="B790">
        <v>21000</v>
      </c>
      <c r="C790" t="s">
        <v>38</v>
      </c>
      <c r="D790" s="2">
        <v>245279320</v>
      </c>
      <c r="E790" s="2">
        <v>75504974</v>
      </c>
      <c r="F790" s="2">
        <v>37489183</v>
      </c>
      <c r="G790" s="2">
        <f t="shared" si="24"/>
        <v>112994157</v>
      </c>
      <c r="H790">
        <f t="shared" si="25"/>
        <v>0.46067543321630211</v>
      </c>
    </row>
    <row r="791" spans="1:8">
      <c r="A791" t="s">
        <v>80</v>
      </c>
      <c r="B791">
        <v>22000</v>
      </c>
      <c r="C791" t="s">
        <v>39</v>
      </c>
      <c r="D791" s="2">
        <v>493155061</v>
      </c>
      <c r="E791" s="2">
        <v>77616594</v>
      </c>
      <c r="F791" s="2">
        <v>41618263</v>
      </c>
      <c r="G791" s="2">
        <f t="shared" si="24"/>
        <v>119234857</v>
      </c>
      <c r="H791">
        <f t="shared" si="25"/>
        <v>0.24177964788239292</v>
      </c>
    </row>
    <row r="792" spans="1:8">
      <c r="A792" t="s">
        <v>80</v>
      </c>
      <c r="B792">
        <v>23000</v>
      </c>
      <c r="C792" t="s">
        <v>40</v>
      </c>
      <c r="D792" s="2">
        <v>1089777923</v>
      </c>
      <c r="E792" s="2">
        <v>90182300</v>
      </c>
      <c r="F792" s="2">
        <v>66983930</v>
      </c>
      <c r="G792" s="2">
        <f t="shared" si="24"/>
        <v>157166230</v>
      </c>
      <c r="H792">
        <f t="shared" si="25"/>
        <v>0.14421858498229093</v>
      </c>
    </row>
    <row r="793" spans="1:8">
      <c r="A793" t="s">
        <v>80</v>
      </c>
      <c r="B793">
        <v>24000</v>
      </c>
      <c r="C793" t="s">
        <v>41</v>
      </c>
      <c r="D793" s="2">
        <v>232310772</v>
      </c>
      <c r="E793" s="2">
        <v>55397652</v>
      </c>
      <c r="F793" s="2">
        <v>20178471</v>
      </c>
      <c r="G793" s="2">
        <f t="shared" si="24"/>
        <v>75576123</v>
      </c>
      <c r="H793">
        <f t="shared" si="25"/>
        <v>0.32532336899125797</v>
      </c>
    </row>
    <row r="794" spans="1:8">
      <c r="A794" t="s">
        <v>80</v>
      </c>
      <c r="B794">
        <v>25000</v>
      </c>
      <c r="C794" t="s">
        <v>42</v>
      </c>
      <c r="D794" s="2">
        <v>167814911</v>
      </c>
      <c r="E794" s="2">
        <v>36628625</v>
      </c>
      <c r="F794" s="2">
        <v>24752582</v>
      </c>
      <c r="G794" s="2">
        <f t="shared" si="24"/>
        <v>61381207</v>
      </c>
      <c r="H794">
        <f t="shared" si="25"/>
        <v>0.36576730061847723</v>
      </c>
    </row>
    <row r="795" spans="1:8">
      <c r="A795" t="s">
        <v>80</v>
      </c>
      <c r="B795">
        <v>26000</v>
      </c>
      <c r="C795" t="s">
        <v>43</v>
      </c>
      <c r="D795" s="2">
        <v>312621248</v>
      </c>
      <c r="E795" s="2">
        <v>34424667</v>
      </c>
      <c r="F795" s="2">
        <v>26075152</v>
      </c>
      <c r="G795" s="2">
        <f t="shared" si="24"/>
        <v>60499819</v>
      </c>
      <c r="H795">
        <f t="shared" si="25"/>
        <v>0.19352433459673221</v>
      </c>
    </row>
    <row r="796" spans="1:8">
      <c r="A796" t="s">
        <v>80</v>
      </c>
      <c r="B796">
        <v>27000</v>
      </c>
      <c r="C796" t="s">
        <v>44</v>
      </c>
      <c r="D796" s="2">
        <v>1134469252</v>
      </c>
      <c r="E796" s="2">
        <v>90195954</v>
      </c>
      <c r="F796" s="2">
        <v>100597654</v>
      </c>
      <c r="G796" s="2">
        <f t="shared" si="24"/>
        <v>190793608</v>
      </c>
      <c r="H796">
        <f t="shared" si="25"/>
        <v>0.1681787387922965</v>
      </c>
    </row>
    <row r="797" spans="1:8">
      <c r="A797" t="s">
        <v>80</v>
      </c>
      <c r="B797">
        <v>28000</v>
      </c>
      <c r="C797" t="s">
        <v>45</v>
      </c>
      <c r="D797" s="2">
        <v>589668864</v>
      </c>
      <c r="E797" s="2">
        <v>103756911</v>
      </c>
      <c r="F797" s="2">
        <v>80143609</v>
      </c>
      <c r="G797" s="2">
        <f t="shared" si="24"/>
        <v>183900520</v>
      </c>
      <c r="H797">
        <f t="shared" si="25"/>
        <v>0.31187083332247978</v>
      </c>
    </row>
    <row r="798" spans="1:8">
      <c r="A798" t="s">
        <v>80</v>
      </c>
      <c r="B798">
        <v>29000</v>
      </c>
      <c r="C798" t="s">
        <v>46</v>
      </c>
      <c r="D798" s="2">
        <v>129699583</v>
      </c>
      <c r="E798" s="2">
        <v>35644355</v>
      </c>
      <c r="F798" s="2">
        <v>20867176</v>
      </c>
      <c r="G798" s="2">
        <f t="shared" si="24"/>
        <v>56511531</v>
      </c>
      <c r="H798">
        <f t="shared" si="25"/>
        <v>0.43571096909386364</v>
      </c>
    </row>
    <row r="799" spans="1:8">
      <c r="A799" t="s">
        <v>80</v>
      </c>
      <c r="B799">
        <v>30000</v>
      </c>
      <c r="C799" t="s">
        <v>47</v>
      </c>
      <c r="D799" s="2">
        <v>101570032</v>
      </c>
      <c r="E799" s="2">
        <v>52329998</v>
      </c>
      <c r="F799" s="2">
        <v>21504738</v>
      </c>
      <c r="G799" s="2">
        <f t="shared" si="24"/>
        <v>73834736</v>
      </c>
      <c r="H799">
        <f t="shared" si="25"/>
        <v>0.72693425950678048</v>
      </c>
    </row>
    <row r="800" spans="1:8">
      <c r="A800" t="s">
        <v>80</v>
      </c>
      <c r="B800">
        <v>31000</v>
      </c>
      <c r="C800" t="s">
        <v>48</v>
      </c>
      <c r="D800" s="2">
        <v>62720383</v>
      </c>
      <c r="E800" s="2">
        <v>42201275</v>
      </c>
      <c r="F800" s="2">
        <v>23713853</v>
      </c>
      <c r="G800" s="2">
        <f t="shared" si="24"/>
        <v>65915128</v>
      </c>
      <c r="H800">
        <f t="shared" si="25"/>
        <v>1.0509363120438853</v>
      </c>
    </row>
    <row r="801" spans="1:8">
      <c r="A801" t="s">
        <v>80</v>
      </c>
      <c r="B801">
        <v>32000</v>
      </c>
      <c r="C801" t="s">
        <v>49</v>
      </c>
      <c r="D801" s="2">
        <v>76531513</v>
      </c>
      <c r="E801" s="2">
        <v>87870583</v>
      </c>
      <c r="F801" s="2">
        <v>33045643</v>
      </c>
      <c r="G801" s="2">
        <f t="shared" si="24"/>
        <v>120916226</v>
      </c>
      <c r="H801">
        <f t="shared" si="25"/>
        <v>1.5799534238921946</v>
      </c>
    </row>
    <row r="802" spans="1:8">
      <c r="A802" t="s">
        <v>80</v>
      </c>
      <c r="B802">
        <v>33000</v>
      </c>
      <c r="C802" t="s">
        <v>50</v>
      </c>
      <c r="D802" s="2">
        <v>212316654</v>
      </c>
      <c r="E802" s="2">
        <v>55029278</v>
      </c>
      <c r="F802" s="2">
        <v>33118961</v>
      </c>
      <c r="G802" s="2">
        <f t="shared" si="24"/>
        <v>88148239</v>
      </c>
      <c r="H802">
        <f t="shared" si="25"/>
        <v>0.41517345596450478</v>
      </c>
    </row>
    <row r="803" spans="1:8">
      <c r="A803" t="s">
        <v>80</v>
      </c>
      <c r="B803">
        <v>34000</v>
      </c>
      <c r="C803" t="s">
        <v>51</v>
      </c>
      <c r="D803" s="2">
        <v>317502128</v>
      </c>
      <c r="E803" s="2">
        <v>80408316</v>
      </c>
      <c r="F803" s="2">
        <v>66513962</v>
      </c>
      <c r="G803" s="2">
        <f t="shared" si="24"/>
        <v>146922278</v>
      </c>
      <c r="H803">
        <f t="shared" si="25"/>
        <v>0.46274423080402155</v>
      </c>
    </row>
    <row r="804" spans="1:8">
      <c r="A804" t="s">
        <v>80</v>
      </c>
      <c r="B804">
        <v>35000</v>
      </c>
      <c r="C804" t="s">
        <v>52</v>
      </c>
      <c r="D804" s="2">
        <v>170034806</v>
      </c>
      <c r="E804" s="2">
        <v>67888266</v>
      </c>
      <c r="F804" s="2">
        <v>34404711</v>
      </c>
      <c r="G804" s="2">
        <f t="shared" si="24"/>
        <v>102292977</v>
      </c>
      <c r="H804">
        <f t="shared" si="25"/>
        <v>0.60160022178047479</v>
      </c>
    </row>
    <row r="805" spans="1:8">
      <c r="A805" t="s">
        <v>80</v>
      </c>
      <c r="B805">
        <v>36000</v>
      </c>
      <c r="C805" t="s">
        <v>53</v>
      </c>
      <c r="D805" s="2">
        <v>91784628</v>
      </c>
      <c r="E805" s="2">
        <v>65851377</v>
      </c>
      <c r="F805" s="2">
        <v>18589289</v>
      </c>
      <c r="G805" s="2">
        <f t="shared" si="24"/>
        <v>84440666</v>
      </c>
      <c r="H805">
        <f t="shared" si="25"/>
        <v>0.91998701569068841</v>
      </c>
    </row>
    <row r="806" spans="1:8">
      <c r="A806" t="s">
        <v>80</v>
      </c>
      <c r="B806">
        <v>37000</v>
      </c>
      <c r="C806" t="s">
        <v>54</v>
      </c>
      <c r="D806" s="2">
        <v>121638993</v>
      </c>
      <c r="E806" s="2">
        <v>27038034</v>
      </c>
      <c r="F806" s="2">
        <v>22110711</v>
      </c>
      <c r="G806" s="2">
        <f t="shared" si="24"/>
        <v>49148745</v>
      </c>
      <c r="H806">
        <f t="shared" si="25"/>
        <v>0.404054191734389</v>
      </c>
    </row>
    <row r="807" spans="1:8">
      <c r="A807" t="s">
        <v>80</v>
      </c>
      <c r="B807">
        <v>38000</v>
      </c>
      <c r="C807" t="s">
        <v>55</v>
      </c>
      <c r="D807" s="2">
        <v>148307498</v>
      </c>
      <c r="E807" s="2">
        <v>62409227</v>
      </c>
      <c r="F807" s="2">
        <v>25769456</v>
      </c>
      <c r="G807" s="2">
        <f t="shared" si="24"/>
        <v>88178683</v>
      </c>
      <c r="H807">
        <f t="shared" si="25"/>
        <v>0.59456658759087155</v>
      </c>
    </row>
    <row r="808" spans="1:8">
      <c r="A808" t="s">
        <v>80</v>
      </c>
      <c r="B808">
        <v>39000</v>
      </c>
      <c r="C808" t="s">
        <v>56</v>
      </c>
      <c r="D808" s="2">
        <v>74188001</v>
      </c>
      <c r="E808" s="2">
        <v>72142122</v>
      </c>
      <c r="F808" s="2">
        <v>21419935</v>
      </c>
      <c r="G808" s="2">
        <f t="shared" si="24"/>
        <v>93562057</v>
      </c>
      <c r="H808">
        <f t="shared" si="25"/>
        <v>1.2611481066864167</v>
      </c>
    </row>
    <row r="809" spans="1:8">
      <c r="A809" t="s">
        <v>80</v>
      </c>
      <c r="B809">
        <v>40000</v>
      </c>
      <c r="C809" t="s">
        <v>57</v>
      </c>
      <c r="D809" s="2">
        <v>523695361</v>
      </c>
      <c r="E809" s="2">
        <v>79546638</v>
      </c>
      <c r="F809" s="2">
        <v>75460753</v>
      </c>
      <c r="G809" s="2">
        <f t="shared" si="24"/>
        <v>155007391</v>
      </c>
      <c r="H809">
        <f t="shared" si="25"/>
        <v>0.29598771068739715</v>
      </c>
    </row>
    <row r="810" spans="1:8">
      <c r="A810" t="s">
        <v>80</v>
      </c>
      <c r="B810">
        <v>41000</v>
      </c>
      <c r="C810" t="s">
        <v>58</v>
      </c>
      <c r="D810" s="2">
        <v>93784985</v>
      </c>
      <c r="E810" s="2">
        <v>44085218</v>
      </c>
      <c r="F810" s="2">
        <v>22385496</v>
      </c>
      <c r="G810" s="2">
        <f t="shared" si="24"/>
        <v>66470714</v>
      </c>
      <c r="H810">
        <f t="shared" si="25"/>
        <v>0.70875646032251327</v>
      </c>
    </row>
    <row r="811" spans="1:8">
      <c r="A811" t="s">
        <v>80</v>
      </c>
      <c r="B811">
        <v>42000</v>
      </c>
      <c r="C811" t="s">
        <v>59</v>
      </c>
      <c r="D811" s="2">
        <v>121056476</v>
      </c>
      <c r="E811" s="2">
        <v>109428683</v>
      </c>
      <c r="F811" s="2">
        <v>36495924</v>
      </c>
      <c r="G811" s="2">
        <f t="shared" si="24"/>
        <v>145924607</v>
      </c>
      <c r="H811">
        <f t="shared" si="25"/>
        <v>1.2054258625536067</v>
      </c>
    </row>
    <row r="812" spans="1:8">
      <c r="A812" t="s">
        <v>80</v>
      </c>
      <c r="B812">
        <v>43000</v>
      </c>
      <c r="C812" t="s">
        <v>60</v>
      </c>
      <c r="D812" s="2">
        <v>172178978</v>
      </c>
      <c r="E812" s="2">
        <v>71861466</v>
      </c>
      <c r="F812" s="2">
        <v>31535386</v>
      </c>
      <c r="G812" s="2">
        <f t="shared" si="24"/>
        <v>103396852</v>
      </c>
      <c r="H812">
        <f t="shared" si="25"/>
        <v>0.60051960582551489</v>
      </c>
    </row>
    <row r="813" spans="1:8">
      <c r="A813" t="s">
        <v>80</v>
      </c>
      <c r="B813">
        <v>44000</v>
      </c>
      <c r="C813" t="s">
        <v>61</v>
      </c>
      <c r="D813" s="2">
        <v>117451819</v>
      </c>
      <c r="E813" s="2">
        <v>72806911</v>
      </c>
      <c r="F813" s="2">
        <v>27662300</v>
      </c>
      <c r="G813" s="2">
        <f t="shared" si="24"/>
        <v>100469211</v>
      </c>
      <c r="H813">
        <f t="shared" si="25"/>
        <v>0.85540787580309841</v>
      </c>
    </row>
    <row r="814" spans="1:8">
      <c r="A814" t="s">
        <v>80</v>
      </c>
      <c r="B814">
        <v>45000</v>
      </c>
      <c r="C814" t="s">
        <v>62</v>
      </c>
      <c r="D814" s="2">
        <v>103605802</v>
      </c>
      <c r="E814" s="2">
        <v>64729717</v>
      </c>
      <c r="F814" s="2">
        <v>38239005</v>
      </c>
      <c r="G814" s="2">
        <f t="shared" si="24"/>
        <v>102968722</v>
      </c>
      <c r="H814">
        <f t="shared" si="25"/>
        <v>0.99385092352260351</v>
      </c>
    </row>
    <row r="815" spans="1:8">
      <c r="A815" t="s">
        <v>80</v>
      </c>
      <c r="B815">
        <v>46000</v>
      </c>
      <c r="C815" t="s">
        <v>63</v>
      </c>
      <c r="D815" s="2">
        <v>159953311</v>
      </c>
      <c r="E815" s="2">
        <v>145141950</v>
      </c>
      <c r="F815" s="2">
        <v>45514509</v>
      </c>
      <c r="G815" s="2">
        <f t="shared" si="24"/>
        <v>190656459</v>
      </c>
      <c r="H815">
        <f t="shared" si="25"/>
        <v>1.1919506874102781</v>
      </c>
    </row>
    <row r="816" spans="1:8">
      <c r="A816" t="s">
        <v>80</v>
      </c>
      <c r="B816">
        <v>47000</v>
      </c>
      <c r="C816" t="s">
        <v>64</v>
      </c>
      <c r="D816" s="2">
        <v>95612154</v>
      </c>
      <c r="E816" s="2">
        <v>140476898</v>
      </c>
      <c r="F816" s="2">
        <v>34747907</v>
      </c>
      <c r="G816" s="2">
        <f t="shared" si="24"/>
        <v>175224805</v>
      </c>
      <c r="H816">
        <f t="shared" si="25"/>
        <v>1.8326624562814473</v>
      </c>
    </row>
    <row r="817" spans="1:8">
      <c r="A817" t="s">
        <v>81</v>
      </c>
      <c r="B817" s="1" t="s">
        <v>7</v>
      </c>
      <c r="C817" t="s">
        <v>8</v>
      </c>
      <c r="D817" s="2">
        <v>17456122242</v>
      </c>
      <c r="E817" s="2">
        <v>4050729138</v>
      </c>
      <c r="F817" s="2">
        <v>1546068365</v>
      </c>
      <c r="G817" s="2">
        <f t="shared" si="24"/>
        <v>5596797503</v>
      </c>
      <c r="H817">
        <f t="shared" si="25"/>
        <v>0.32062089308322572</v>
      </c>
    </row>
    <row r="818" spans="1:8">
      <c r="A818" t="s">
        <v>81</v>
      </c>
      <c r="B818" s="1" t="s">
        <v>9</v>
      </c>
      <c r="C818" t="s">
        <v>10</v>
      </c>
      <c r="D818" s="2">
        <v>629622505</v>
      </c>
      <c r="E818" s="2">
        <v>348991348</v>
      </c>
      <c r="F818" s="2">
        <v>100848523</v>
      </c>
      <c r="G818" s="2">
        <f t="shared" si="24"/>
        <v>449839871</v>
      </c>
      <c r="H818">
        <f t="shared" si="25"/>
        <v>0.71445964435467568</v>
      </c>
    </row>
    <row r="819" spans="1:8">
      <c r="A819" t="s">
        <v>81</v>
      </c>
      <c r="B819" s="1" t="s">
        <v>11</v>
      </c>
      <c r="C819" t="s">
        <v>12</v>
      </c>
      <c r="D819" s="2">
        <v>142247657</v>
      </c>
      <c r="E819" s="2">
        <v>102062447</v>
      </c>
      <c r="F819" s="2">
        <v>24872679</v>
      </c>
      <c r="G819" s="2">
        <f t="shared" si="24"/>
        <v>126935126</v>
      </c>
      <c r="H819">
        <f t="shared" si="25"/>
        <v>0.89235301780752707</v>
      </c>
    </row>
    <row r="820" spans="1:8">
      <c r="A820" t="s">
        <v>81</v>
      </c>
      <c r="B820" s="1" t="s">
        <v>13</v>
      </c>
      <c r="C820" t="s">
        <v>14</v>
      </c>
      <c r="D820" s="2">
        <v>141564276</v>
      </c>
      <c r="E820" s="2">
        <v>104282055</v>
      </c>
      <c r="F820" s="2">
        <v>28933088</v>
      </c>
      <c r="G820" s="2">
        <f t="shared" si="24"/>
        <v>133215143</v>
      </c>
      <c r="H820">
        <f t="shared" si="25"/>
        <v>0.94102231695798733</v>
      </c>
    </row>
    <row r="821" spans="1:8">
      <c r="A821" t="s">
        <v>81</v>
      </c>
      <c r="B821" s="1" t="s">
        <v>15</v>
      </c>
      <c r="C821" t="s">
        <v>16</v>
      </c>
      <c r="D821" s="2">
        <v>269659934</v>
      </c>
      <c r="E821" s="2">
        <v>65201885</v>
      </c>
      <c r="F821" s="2">
        <v>23027310</v>
      </c>
      <c r="G821" s="2">
        <f t="shared" si="24"/>
        <v>88229195</v>
      </c>
      <c r="H821">
        <f t="shared" si="25"/>
        <v>0.32718688939529295</v>
      </c>
    </row>
    <row r="822" spans="1:8">
      <c r="A822" t="s">
        <v>81</v>
      </c>
      <c r="B822" s="1" t="s">
        <v>17</v>
      </c>
      <c r="C822" t="s">
        <v>18</v>
      </c>
      <c r="D822" s="2">
        <v>114163637</v>
      </c>
      <c r="E822" s="2">
        <v>99927495</v>
      </c>
      <c r="F822" s="2">
        <v>22877092</v>
      </c>
      <c r="G822" s="2">
        <f t="shared" si="24"/>
        <v>122804587</v>
      </c>
      <c r="H822">
        <f t="shared" si="25"/>
        <v>1.0756891618650868</v>
      </c>
    </row>
    <row r="823" spans="1:8">
      <c r="A823" t="s">
        <v>81</v>
      </c>
      <c r="B823" s="1" t="s">
        <v>19</v>
      </c>
      <c r="C823" t="s">
        <v>20</v>
      </c>
      <c r="D823" s="2">
        <v>125205807</v>
      </c>
      <c r="E823" s="2">
        <v>60038400</v>
      </c>
      <c r="F823" s="2">
        <v>27369992</v>
      </c>
      <c r="G823" s="2">
        <f t="shared" si="24"/>
        <v>87408392</v>
      </c>
      <c r="H823">
        <f t="shared" si="25"/>
        <v>0.69811771589795357</v>
      </c>
    </row>
    <row r="824" spans="1:8">
      <c r="A824" t="s">
        <v>81</v>
      </c>
      <c r="B824" s="1" t="s">
        <v>21</v>
      </c>
      <c r="C824" t="s">
        <v>22</v>
      </c>
      <c r="D824" s="2">
        <v>246577024</v>
      </c>
      <c r="E824" s="2">
        <v>91918645</v>
      </c>
      <c r="F824" s="2">
        <v>31616868</v>
      </c>
      <c r="G824" s="2">
        <f t="shared" si="24"/>
        <v>123535513</v>
      </c>
      <c r="H824">
        <f t="shared" si="25"/>
        <v>0.50100171944649641</v>
      </c>
    </row>
    <row r="825" spans="1:8">
      <c r="A825" t="s">
        <v>81</v>
      </c>
      <c r="B825" s="1" t="s">
        <v>23</v>
      </c>
      <c r="C825" t="s">
        <v>24</v>
      </c>
      <c r="D825" s="2">
        <v>349182087</v>
      </c>
      <c r="E825" s="2">
        <v>63393591</v>
      </c>
      <c r="F825" s="2">
        <v>41490199</v>
      </c>
      <c r="G825" s="2">
        <f t="shared" si="24"/>
        <v>104883790</v>
      </c>
      <c r="H825">
        <f t="shared" si="25"/>
        <v>0.30036990414115944</v>
      </c>
    </row>
    <row r="826" spans="1:8">
      <c r="A826" t="s">
        <v>81</v>
      </c>
      <c r="B826" s="1" t="s">
        <v>25</v>
      </c>
      <c r="C826" t="s">
        <v>26</v>
      </c>
      <c r="D826" s="2">
        <v>251849472</v>
      </c>
      <c r="E826" s="2">
        <v>61975226</v>
      </c>
      <c r="F826" s="2">
        <v>27805574</v>
      </c>
      <c r="G826" s="2">
        <f t="shared" si="24"/>
        <v>89780800</v>
      </c>
      <c r="H826">
        <f t="shared" si="25"/>
        <v>0.35648595681788842</v>
      </c>
    </row>
    <row r="827" spans="1:8">
      <c r="A827" t="s">
        <v>81</v>
      </c>
      <c r="B827">
        <v>10000</v>
      </c>
      <c r="C827" t="s">
        <v>27</v>
      </c>
      <c r="D827" s="2">
        <v>247783668</v>
      </c>
      <c r="E827" s="2">
        <v>58088910</v>
      </c>
      <c r="F827" s="2">
        <v>23201165</v>
      </c>
      <c r="G827" s="2">
        <f t="shared" si="24"/>
        <v>81290075</v>
      </c>
      <c r="H827">
        <f t="shared" si="25"/>
        <v>0.32806873695969341</v>
      </c>
    </row>
    <row r="828" spans="1:8">
      <c r="A828" t="s">
        <v>81</v>
      </c>
      <c r="B828">
        <v>11000</v>
      </c>
      <c r="C828" t="s">
        <v>28</v>
      </c>
      <c r="D828" s="2">
        <v>699547642</v>
      </c>
      <c r="E828" s="2">
        <v>68970476</v>
      </c>
      <c r="F828" s="2">
        <v>47079700</v>
      </c>
      <c r="G828" s="2">
        <f t="shared" si="24"/>
        <v>116050176</v>
      </c>
      <c r="H828">
        <f t="shared" si="25"/>
        <v>0.16589317014665886</v>
      </c>
    </row>
    <row r="829" spans="1:8">
      <c r="A829" t="s">
        <v>81</v>
      </c>
      <c r="B829">
        <v>12000</v>
      </c>
      <c r="C829" t="s">
        <v>29</v>
      </c>
      <c r="D829" s="2">
        <v>634807554</v>
      </c>
      <c r="E829" s="2">
        <v>79072958</v>
      </c>
      <c r="F829" s="2">
        <v>44357640</v>
      </c>
      <c r="G829" s="2">
        <f t="shared" si="24"/>
        <v>123430598</v>
      </c>
      <c r="H829">
        <f t="shared" si="25"/>
        <v>0.19443782170241786</v>
      </c>
    </row>
    <row r="830" spans="1:8">
      <c r="A830" t="s">
        <v>81</v>
      </c>
      <c r="B830">
        <v>13000</v>
      </c>
      <c r="C830" t="s">
        <v>30</v>
      </c>
      <c r="D830" s="2">
        <v>4267000196</v>
      </c>
      <c r="E830" s="2">
        <v>141556913</v>
      </c>
      <c r="F830" s="2">
        <v>98247683</v>
      </c>
      <c r="G830" s="2">
        <f t="shared" si="24"/>
        <v>239804596</v>
      </c>
      <c r="H830">
        <f t="shared" si="25"/>
        <v>5.6199808995743485E-2</v>
      </c>
    </row>
    <row r="831" spans="1:8">
      <c r="A831" t="s">
        <v>81</v>
      </c>
      <c r="B831">
        <v>14000</v>
      </c>
      <c r="C831" t="s">
        <v>31</v>
      </c>
      <c r="D831" s="2">
        <v>987730128</v>
      </c>
      <c r="E831" s="2">
        <v>57575807</v>
      </c>
      <c r="F831" s="2">
        <v>47802262</v>
      </c>
      <c r="G831" s="2">
        <f t="shared" si="24"/>
        <v>105378069</v>
      </c>
      <c r="H831">
        <f t="shared" si="25"/>
        <v>0.10668710613634334</v>
      </c>
    </row>
    <row r="832" spans="1:8">
      <c r="A832" t="s">
        <v>81</v>
      </c>
      <c r="B832">
        <v>15000</v>
      </c>
      <c r="C832" t="s">
        <v>32</v>
      </c>
      <c r="D832" s="2">
        <v>279002161</v>
      </c>
      <c r="E832" s="2">
        <v>154041637</v>
      </c>
      <c r="F832" s="2">
        <v>37508012</v>
      </c>
      <c r="G832" s="2">
        <f t="shared" si="24"/>
        <v>191549649</v>
      </c>
      <c r="H832">
        <f t="shared" si="25"/>
        <v>0.68655256401401132</v>
      </c>
    </row>
    <row r="833" spans="1:8">
      <c r="A833" t="s">
        <v>81</v>
      </c>
      <c r="B833">
        <v>16000</v>
      </c>
      <c r="C833" t="s">
        <v>33</v>
      </c>
      <c r="D833" s="2">
        <v>133635567</v>
      </c>
      <c r="E833" s="2">
        <v>53946859</v>
      </c>
      <c r="F833" s="2">
        <v>17054225</v>
      </c>
      <c r="G833" s="2">
        <f t="shared" si="24"/>
        <v>71001084</v>
      </c>
      <c r="H833">
        <f t="shared" si="25"/>
        <v>0.53130379579262754</v>
      </c>
    </row>
    <row r="834" spans="1:8">
      <c r="A834" t="s">
        <v>81</v>
      </c>
      <c r="B834">
        <v>17000</v>
      </c>
      <c r="C834" t="s">
        <v>34</v>
      </c>
      <c r="D834" s="2">
        <v>148828068</v>
      </c>
      <c r="E834" s="2">
        <v>69274215</v>
      </c>
      <c r="F834" s="2">
        <v>16204178</v>
      </c>
      <c r="G834" s="2">
        <f t="shared" si="24"/>
        <v>85478393</v>
      </c>
      <c r="H834">
        <f t="shared" si="25"/>
        <v>0.57434322805292348</v>
      </c>
    </row>
    <row r="835" spans="1:8">
      <c r="A835" t="s">
        <v>81</v>
      </c>
      <c r="B835">
        <v>18000</v>
      </c>
      <c r="C835" t="s">
        <v>35</v>
      </c>
      <c r="D835" s="2">
        <v>116475048</v>
      </c>
      <c r="E835" s="2">
        <v>63959612</v>
      </c>
      <c r="F835" s="2">
        <v>15481789</v>
      </c>
      <c r="G835" s="2">
        <f t="shared" ref="G835:G898" si="26">E835+F835</f>
        <v>79441401</v>
      </c>
      <c r="H835">
        <f t="shared" ref="H835:H898" si="27">G835/D835</f>
        <v>0.68204651866724275</v>
      </c>
    </row>
    <row r="836" spans="1:8">
      <c r="A836" t="s">
        <v>81</v>
      </c>
      <c r="B836">
        <v>19000</v>
      </c>
      <c r="C836" t="s">
        <v>36</v>
      </c>
      <c r="D836" s="2">
        <v>110156483</v>
      </c>
      <c r="E836" s="2">
        <v>68824620</v>
      </c>
      <c r="F836" s="2">
        <v>9661120</v>
      </c>
      <c r="G836" s="2">
        <f t="shared" si="26"/>
        <v>78485740</v>
      </c>
      <c r="H836">
        <f t="shared" si="27"/>
        <v>0.71249315394355861</v>
      </c>
    </row>
    <row r="837" spans="1:8">
      <c r="A837" t="s">
        <v>81</v>
      </c>
      <c r="B837">
        <v>20000</v>
      </c>
      <c r="C837" t="s">
        <v>37</v>
      </c>
      <c r="D837" s="2">
        <v>275823350</v>
      </c>
      <c r="E837" s="2">
        <v>101429556</v>
      </c>
      <c r="F837" s="2">
        <v>38035815</v>
      </c>
      <c r="G837" s="2">
        <f t="shared" si="26"/>
        <v>139465371</v>
      </c>
      <c r="H837">
        <f t="shared" si="27"/>
        <v>0.50563293861814096</v>
      </c>
    </row>
    <row r="838" spans="1:8">
      <c r="A838" t="s">
        <v>81</v>
      </c>
      <c r="B838">
        <v>21000</v>
      </c>
      <c r="C838" t="s">
        <v>38</v>
      </c>
      <c r="D838" s="2">
        <v>251405051</v>
      </c>
      <c r="E838" s="2">
        <v>82573794</v>
      </c>
      <c r="F838" s="2">
        <v>29585975</v>
      </c>
      <c r="G838" s="2">
        <f t="shared" si="26"/>
        <v>112159769</v>
      </c>
      <c r="H838">
        <f t="shared" si="27"/>
        <v>0.44613172469633477</v>
      </c>
    </row>
    <row r="839" spans="1:8">
      <c r="A839" t="s">
        <v>81</v>
      </c>
      <c r="B839">
        <v>22000</v>
      </c>
      <c r="C839" t="s">
        <v>39</v>
      </c>
      <c r="D839" s="2">
        <v>506681624</v>
      </c>
      <c r="E839" s="2">
        <v>80438617</v>
      </c>
      <c r="F839" s="2">
        <v>32227934</v>
      </c>
      <c r="G839" s="2">
        <f t="shared" si="26"/>
        <v>112666551</v>
      </c>
      <c r="H839">
        <f t="shared" si="27"/>
        <v>0.22236162841382226</v>
      </c>
    </row>
    <row r="840" spans="1:8">
      <c r="A840" t="s">
        <v>81</v>
      </c>
      <c r="B840">
        <v>23000</v>
      </c>
      <c r="C840" t="s">
        <v>40</v>
      </c>
      <c r="D840" s="2">
        <v>1058597875</v>
      </c>
      <c r="E840" s="2">
        <v>93430635</v>
      </c>
      <c r="F840" s="2">
        <v>50145789</v>
      </c>
      <c r="G840" s="2">
        <f t="shared" si="26"/>
        <v>143576424</v>
      </c>
      <c r="H840">
        <f t="shared" si="27"/>
        <v>0.13562886095912483</v>
      </c>
    </row>
    <row r="841" spans="1:8">
      <c r="A841" t="s">
        <v>81</v>
      </c>
      <c r="B841">
        <v>24000</v>
      </c>
      <c r="C841" t="s">
        <v>41</v>
      </c>
      <c r="D841" s="2">
        <v>235803404</v>
      </c>
      <c r="E841" s="2">
        <v>60130773</v>
      </c>
      <c r="F841" s="2">
        <v>20036289</v>
      </c>
      <c r="G841" s="2">
        <f t="shared" si="26"/>
        <v>80167062</v>
      </c>
      <c r="H841">
        <f t="shared" si="27"/>
        <v>0.33997415067002174</v>
      </c>
    </row>
    <row r="842" spans="1:8">
      <c r="A842" t="s">
        <v>81</v>
      </c>
      <c r="B842">
        <v>25000</v>
      </c>
      <c r="C842" t="s">
        <v>42</v>
      </c>
      <c r="D842" s="2">
        <v>169927800</v>
      </c>
      <c r="E842" s="2">
        <v>38744355</v>
      </c>
      <c r="F842" s="2">
        <v>18108755</v>
      </c>
      <c r="G842" s="2">
        <f t="shared" si="26"/>
        <v>56853110</v>
      </c>
      <c r="H842">
        <f t="shared" si="27"/>
        <v>0.33457215358522857</v>
      </c>
    </row>
    <row r="843" spans="1:8">
      <c r="A843" t="s">
        <v>81</v>
      </c>
      <c r="B843">
        <v>26000</v>
      </c>
      <c r="C843" t="s">
        <v>43</v>
      </c>
      <c r="D843" s="2">
        <v>309403080</v>
      </c>
      <c r="E843" s="2">
        <v>41704554</v>
      </c>
      <c r="F843" s="2">
        <v>19139471</v>
      </c>
      <c r="G843" s="2">
        <f t="shared" si="26"/>
        <v>60844025</v>
      </c>
      <c r="H843">
        <f t="shared" si="27"/>
        <v>0.19664970691306627</v>
      </c>
    </row>
    <row r="844" spans="1:8">
      <c r="A844" t="s">
        <v>81</v>
      </c>
      <c r="B844">
        <v>27000</v>
      </c>
      <c r="C844" t="s">
        <v>44</v>
      </c>
      <c r="D844" s="2">
        <v>1162735752</v>
      </c>
      <c r="E844" s="2">
        <v>99740824</v>
      </c>
      <c r="F844" s="2">
        <v>68553423</v>
      </c>
      <c r="G844" s="2">
        <f t="shared" si="26"/>
        <v>168294247</v>
      </c>
      <c r="H844">
        <f t="shared" si="27"/>
        <v>0.14473989185463698</v>
      </c>
    </row>
    <row r="845" spans="1:8">
      <c r="A845" t="s">
        <v>81</v>
      </c>
      <c r="B845">
        <v>28000</v>
      </c>
      <c r="C845" t="s">
        <v>45</v>
      </c>
      <c r="D845" s="2">
        <v>607911550</v>
      </c>
      <c r="E845" s="2">
        <v>120662461</v>
      </c>
      <c r="F845" s="2">
        <v>61132453</v>
      </c>
      <c r="G845" s="2">
        <f t="shared" si="26"/>
        <v>181794914</v>
      </c>
      <c r="H845">
        <f t="shared" si="27"/>
        <v>0.29904829740444971</v>
      </c>
    </row>
    <row r="846" spans="1:8">
      <c r="A846" t="s">
        <v>81</v>
      </c>
      <c r="B846">
        <v>29000</v>
      </c>
      <c r="C846" t="s">
        <v>46</v>
      </c>
      <c r="D846" s="2">
        <v>136499503</v>
      </c>
      <c r="E846" s="2">
        <v>41297785</v>
      </c>
      <c r="F846" s="2">
        <v>14572560</v>
      </c>
      <c r="G846" s="2">
        <f t="shared" si="26"/>
        <v>55870345</v>
      </c>
      <c r="H846">
        <f t="shared" si="27"/>
        <v>0.40930804707765128</v>
      </c>
    </row>
    <row r="847" spans="1:8">
      <c r="A847" t="s">
        <v>81</v>
      </c>
      <c r="B847">
        <v>30000</v>
      </c>
      <c r="C847" t="s">
        <v>47</v>
      </c>
      <c r="D847" s="2">
        <v>107270178</v>
      </c>
      <c r="E847" s="2">
        <v>59088386</v>
      </c>
      <c r="F847" s="2">
        <v>17729032</v>
      </c>
      <c r="G847" s="2">
        <f t="shared" si="26"/>
        <v>76817418</v>
      </c>
      <c r="H847">
        <f t="shared" si="27"/>
        <v>0.71611159254345602</v>
      </c>
    </row>
    <row r="848" spans="1:8">
      <c r="A848" t="s">
        <v>81</v>
      </c>
      <c r="B848">
        <v>31000</v>
      </c>
      <c r="C848" t="s">
        <v>48</v>
      </c>
      <c r="D848" s="2">
        <v>66224679</v>
      </c>
      <c r="E848" s="2">
        <v>46846253</v>
      </c>
      <c r="F848" s="2">
        <v>20395633</v>
      </c>
      <c r="G848" s="2">
        <f t="shared" si="26"/>
        <v>67241886</v>
      </c>
      <c r="H848">
        <f t="shared" si="27"/>
        <v>1.0153599385510046</v>
      </c>
    </row>
    <row r="849" spans="1:8">
      <c r="A849" t="s">
        <v>81</v>
      </c>
      <c r="B849">
        <v>32000</v>
      </c>
      <c r="C849" t="s">
        <v>49</v>
      </c>
      <c r="D849" s="2">
        <v>79251591</v>
      </c>
      <c r="E849" s="2">
        <v>94842321</v>
      </c>
      <c r="F849" s="2">
        <v>28456633</v>
      </c>
      <c r="G849" s="2">
        <f t="shared" si="26"/>
        <v>123298954</v>
      </c>
      <c r="H849">
        <f t="shared" si="27"/>
        <v>1.5557915297877112</v>
      </c>
    </row>
    <row r="850" spans="1:8">
      <c r="A850" t="s">
        <v>81</v>
      </c>
      <c r="B850">
        <v>33000</v>
      </c>
      <c r="C850" t="s">
        <v>50</v>
      </c>
      <c r="D850" s="2">
        <v>218498497</v>
      </c>
      <c r="E850" s="2">
        <v>59790467</v>
      </c>
      <c r="F850" s="2">
        <v>26617331</v>
      </c>
      <c r="G850" s="2">
        <f t="shared" si="26"/>
        <v>86407798</v>
      </c>
      <c r="H850">
        <f t="shared" si="27"/>
        <v>0.39546175001835365</v>
      </c>
    </row>
    <row r="851" spans="1:8">
      <c r="A851" t="s">
        <v>81</v>
      </c>
      <c r="B851">
        <v>34000</v>
      </c>
      <c r="C851" t="s">
        <v>51</v>
      </c>
      <c r="D851" s="2">
        <v>330847646</v>
      </c>
      <c r="E851" s="2">
        <v>95543224</v>
      </c>
      <c r="F851" s="2">
        <v>56103909</v>
      </c>
      <c r="G851" s="2">
        <f t="shared" si="26"/>
        <v>151647133</v>
      </c>
      <c r="H851">
        <f t="shared" si="27"/>
        <v>0.45835941356523963</v>
      </c>
    </row>
    <row r="852" spans="1:8">
      <c r="A852" t="s">
        <v>81</v>
      </c>
      <c r="B852">
        <v>35000</v>
      </c>
      <c r="C852" t="s">
        <v>52</v>
      </c>
      <c r="D852" s="2">
        <v>175677657</v>
      </c>
      <c r="E852" s="2">
        <v>80270500</v>
      </c>
      <c r="F852" s="2">
        <v>25853603</v>
      </c>
      <c r="G852" s="2">
        <f t="shared" si="26"/>
        <v>106124103</v>
      </c>
      <c r="H852">
        <f t="shared" si="27"/>
        <v>0.60408423479828177</v>
      </c>
    </row>
    <row r="853" spans="1:8">
      <c r="A853" t="s">
        <v>81</v>
      </c>
      <c r="B853">
        <v>36000</v>
      </c>
      <c r="C853" t="s">
        <v>53</v>
      </c>
      <c r="D853" s="2">
        <v>95878673</v>
      </c>
      <c r="E853" s="2">
        <v>72981364</v>
      </c>
      <c r="F853" s="2">
        <v>14288142</v>
      </c>
      <c r="G853" s="2">
        <f t="shared" si="26"/>
        <v>87269506</v>
      </c>
      <c r="H853">
        <f t="shared" si="27"/>
        <v>0.91020769551118008</v>
      </c>
    </row>
    <row r="854" spans="1:8">
      <c r="A854" t="s">
        <v>81</v>
      </c>
      <c r="B854">
        <v>37000</v>
      </c>
      <c r="C854" t="s">
        <v>54</v>
      </c>
      <c r="D854" s="2">
        <v>123785252</v>
      </c>
      <c r="E854" s="2">
        <v>27647126</v>
      </c>
      <c r="F854" s="2">
        <v>18687180</v>
      </c>
      <c r="G854" s="2">
        <f t="shared" si="26"/>
        <v>46334306</v>
      </c>
      <c r="H854">
        <f t="shared" si="27"/>
        <v>0.37431200608615312</v>
      </c>
    </row>
    <row r="855" spans="1:8">
      <c r="A855" t="s">
        <v>81</v>
      </c>
      <c r="B855">
        <v>38000</v>
      </c>
      <c r="C855" t="s">
        <v>55</v>
      </c>
      <c r="D855" s="2">
        <v>153288011</v>
      </c>
      <c r="E855" s="2">
        <v>69876296</v>
      </c>
      <c r="F855" s="2">
        <v>18986046</v>
      </c>
      <c r="G855" s="2">
        <f t="shared" si="26"/>
        <v>88862342</v>
      </c>
      <c r="H855">
        <f t="shared" si="27"/>
        <v>0.57970836349360677</v>
      </c>
    </row>
    <row r="856" spans="1:8">
      <c r="A856" t="s">
        <v>81</v>
      </c>
      <c r="B856">
        <v>39000</v>
      </c>
      <c r="C856" t="s">
        <v>56</v>
      </c>
      <c r="D856" s="2">
        <v>77317994</v>
      </c>
      <c r="E856" s="2">
        <v>74655560</v>
      </c>
      <c r="F856" s="2">
        <v>17589887</v>
      </c>
      <c r="G856" s="2">
        <f t="shared" si="26"/>
        <v>92245447</v>
      </c>
      <c r="H856">
        <f t="shared" si="27"/>
        <v>1.1930657047310358</v>
      </c>
    </row>
    <row r="857" spans="1:8">
      <c r="A857" t="s">
        <v>81</v>
      </c>
      <c r="B857">
        <v>40000</v>
      </c>
      <c r="C857" t="s">
        <v>57</v>
      </c>
      <c r="D857" s="2">
        <v>533823466</v>
      </c>
      <c r="E857" s="2">
        <v>86432724</v>
      </c>
      <c r="F857" s="2">
        <v>63196736</v>
      </c>
      <c r="G857" s="2">
        <f t="shared" si="26"/>
        <v>149629460</v>
      </c>
      <c r="H857">
        <f t="shared" si="27"/>
        <v>0.28029764431524634</v>
      </c>
    </row>
    <row r="858" spans="1:8">
      <c r="A858" t="s">
        <v>81</v>
      </c>
      <c r="B858">
        <v>41000</v>
      </c>
      <c r="C858" t="s">
        <v>58</v>
      </c>
      <c r="D858" s="2">
        <v>95469098</v>
      </c>
      <c r="E858" s="2">
        <v>51716560</v>
      </c>
      <c r="F858" s="2">
        <v>18034134</v>
      </c>
      <c r="G858" s="2">
        <f t="shared" si="26"/>
        <v>69750694</v>
      </c>
      <c r="H858">
        <f t="shared" si="27"/>
        <v>0.73061017084292557</v>
      </c>
    </row>
    <row r="859" spans="1:8">
      <c r="A859" t="s">
        <v>81</v>
      </c>
      <c r="B859">
        <v>42000</v>
      </c>
      <c r="C859" t="s">
        <v>59</v>
      </c>
      <c r="D859" s="2">
        <v>125285052</v>
      </c>
      <c r="E859" s="2">
        <v>120007571</v>
      </c>
      <c r="F859" s="2">
        <v>29939758</v>
      </c>
      <c r="G859" s="2">
        <f t="shared" si="26"/>
        <v>149947329</v>
      </c>
      <c r="H859">
        <f t="shared" si="27"/>
        <v>1.1968493176664043</v>
      </c>
    </row>
    <row r="860" spans="1:8">
      <c r="A860" t="s">
        <v>81</v>
      </c>
      <c r="B860">
        <v>43000</v>
      </c>
      <c r="C860" t="s">
        <v>60</v>
      </c>
      <c r="D860" s="2">
        <v>174934859</v>
      </c>
      <c r="E860" s="2">
        <v>87607886</v>
      </c>
      <c r="F860" s="2">
        <v>26705216</v>
      </c>
      <c r="G860" s="2">
        <f t="shared" si="26"/>
        <v>114313102</v>
      </c>
      <c r="H860">
        <f t="shared" si="27"/>
        <v>0.65346096629031492</v>
      </c>
    </row>
    <row r="861" spans="1:8">
      <c r="A861" t="s">
        <v>81</v>
      </c>
      <c r="B861">
        <v>44000</v>
      </c>
      <c r="C861" t="s">
        <v>61</v>
      </c>
      <c r="D861" s="2">
        <v>121709039</v>
      </c>
      <c r="E861" s="2">
        <v>82518022</v>
      </c>
      <c r="F861" s="2">
        <v>22378594</v>
      </c>
      <c r="G861" s="2">
        <f t="shared" si="26"/>
        <v>104896616</v>
      </c>
      <c r="H861">
        <f t="shared" si="27"/>
        <v>0.86186380947433161</v>
      </c>
    </row>
    <row r="862" spans="1:8">
      <c r="A862" t="s">
        <v>81</v>
      </c>
      <c r="B862">
        <v>45000</v>
      </c>
      <c r="C862" t="s">
        <v>62</v>
      </c>
      <c r="D862" s="2">
        <v>107346351</v>
      </c>
      <c r="E862" s="2">
        <v>72291109</v>
      </c>
      <c r="F862" s="2">
        <v>34310841</v>
      </c>
      <c r="G862" s="2">
        <f t="shared" si="26"/>
        <v>106601950</v>
      </c>
      <c r="H862">
        <f t="shared" si="27"/>
        <v>0.99306542799950415</v>
      </c>
    </row>
    <row r="863" spans="1:8">
      <c r="A863" t="s">
        <v>81</v>
      </c>
      <c r="B863">
        <v>46000</v>
      </c>
      <c r="C863" t="s">
        <v>63</v>
      </c>
      <c r="D863" s="2">
        <v>163959320</v>
      </c>
      <c r="E863" s="2">
        <v>144495006</v>
      </c>
      <c r="F863" s="2">
        <v>45784598</v>
      </c>
      <c r="G863" s="2">
        <f t="shared" si="26"/>
        <v>190279604</v>
      </c>
      <c r="H863">
        <f t="shared" si="27"/>
        <v>1.1605293556962788</v>
      </c>
    </row>
    <row r="864" spans="1:8">
      <c r="A864" t="s">
        <v>81</v>
      </c>
      <c r="B864">
        <v>47000</v>
      </c>
      <c r="C864" t="s">
        <v>64</v>
      </c>
      <c r="D864" s="2">
        <v>95726976</v>
      </c>
      <c r="E864" s="2">
        <v>150862310</v>
      </c>
      <c r="F864" s="2">
        <v>24033529</v>
      </c>
      <c r="G864" s="2">
        <f t="shared" si="26"/>
        <v>174895839</v>
      </c>
      <c r="H864">
        <f t="shared" si="27"/>
        <v>1.8270277230944807</v>
      </c>
    </row>
    <row r="865" spans="1:8">
      <c r="A865" t="s">
        <v>82</v>
      </c>
      <c r="B865" s="1" t="s">
        <v>7</v>
      </c>
      <c r="C865" t="s">
        <v>8</v>
      </c>
      <c r="D865" s="2">
        <v>16432986858</v>
      </c>
      <c r="E865" s="2">
        <v>4454840664</v>
      </c>
      <c r="F865" s="2">
        <v>1652125167</v>
      </c>
      <c r="G865" s="2">
        <f t="shared" si="26"/>
        <v>6106965831</v>
      </c>
      <c r="H865">
        <f t="shared" si="27"/>
        <v>0.37162847410341426</v>
      </c>
    </row>
    <row r="866" spans="1:8">
      <c r="A866" t="s">
        <v>82</v>
      </c>
      <c r="B866" s="1" t="s">
        <v>9</v>
      </c>
      <c r="C866" t="s">
        <v>10</v>
      </c>
      <c r="D866" s="2">
        <v>606620119</v>
      </c>
      <c r="E866" s="2">
        <v>379912852</v>
      </c>
      <c r="F866" s="2">
        <v>103918192</v>
      </c>
      <c r="G866" s="2">
        <f t="shared" si="26"/>
        <v>483831044</v>
      </c>
      <c r="H866">
        <f t="shared" si="27"/>
        <v>0.79758489513599529</v>
      </c>
    </row>
    <row r="867" spans="1:8">
      <c r="A867" t="s">
        <v>82</v>
      </c>
      <c r="B867" s="1" t="s">
        <v>11</v>
      </c>
      <c r="C867" t="s">
        <v>12</v>
      </c>
      <c r="D867" s="2">
        <v>133742792</v>
      </c>
      <c r="E867" s="2">
        <v>96681006</v>
      </c>
      <c r="F867" s="2">
        <v>34762835</v>
      </c>
      <c r="G867" s="2">
        <f t="shared" si="26"/>
        <v>131443841</v>
      </c>
      <c r="H867">
        <f t="shared" si="27"/>
        <v>0.98281065494729614</v>
      </c>
    </row>
    <row r="868" spans="1:8">
      <c r="A868" t="s">
        <v>82</v>
      </c>
      <c r="B868" s="1" t="s">
        <v>13</v>
      </c>
      <c r="C868" t="s">
        <v>14</v>
      </c>
      <c r="D868" s="2">
        <v>134856744</v>
      </c>
      <c r="E868" s="2">
        <v>108819135</v>
      </c>
      <c r="F868" s="2">
        <v>29137348</v>
      </c>
      <c r="G868" s="2">
        <f t="shared" si="26"/>
        <v>137956483</v>
      </c>
      <c r="H868">
        <f t="shared" si="27"/>
        <v>1.022985420736541</v>
      </c>
    </row>
    <row r="869" spans="1:8">
      <c r="A869" t="s">
        <v>82</v>
      </c>
      <c r="B869" s="1" t="s">
        <v>15</v>
      </c>
      <c r="C869" t="s">
        <v>16</v>
      </c>
      <c r="D869" s="2">
        <v>261799220</v>
      </c>
      <c r="E869" s="2">
        <v>73187747</v>
      </c>
      <c r="F869" s="2">
        <v>27989729</v>
      </c>
      <c r="G869" s="2">
        <f t="shared" si="26"/>
        <v>101177476</v>
      </c>
      <c r="H869">
        <f t="shared" si="27"/>
        <v>0.38646973814513275</v>
      </c>
    </row>
    <row r="870" spans="1:8">
      <c r="A870" t="s">
        <v>82</v>
      </c>
      <c r="B870" s="1" t="s">
        <v>17</v>
      </c>
      <c r="C870" t="s">
        <v>18</v>
      </c>
      <c r="D870" s="2">
        <v>111518413</v>
      </c>
      <c r="E870" s="2">
        <v>103797772</v>
      </c>
      <c r="F870" s="2">
        <v>24928351</v>
      </c>
      <c r="G870" s="2">
        <f t="shared" si="26"/>
        <v>128726123</v>
      </c>
      <c r="H870">
        <f t="shared" si="27"/>
        <v>1.1543037560981073</v>
      </c>
    </row>
    <row r="871" spans="1:8">
      <c r="A871" t="s">
        <v>82</v>
      </c>
      <c r="B871" s="1" t="s">
        <v>19</v>
      </c>
      <c r="C871" t="s">
        <v>20</v>
      </c>
      <c r="D871" s="2">
        <v>119155831</v>
      </c>
      <c r="E871" s="2">
        <v>76932543</v>
      </c>
      <c r="F871" s="2">
        <v>24669377</v>
      </c>
      <c r="G871" s="2">
        <f t="shared" si="26"/>
        <v>101601920</v>
      </c>
      <c r="H871">
        <f t="shared" si="27"/>
        <v>0.85268105763116198</v>
      </c>
    </row>
    <row r="872" spans="1:8">
      <c r="A872" t="s">
        <v>82</v>
      </c>
      <c r="B872" s="1" t="s">
        <v>21</v>
      </c>
      <c r="C872" t="s">
        <v>22</v>
      </c>
      <c r="D872" s="2">
        <v>239565676</v>
      </c>
      <c r="E872" s="2">
        <v>109054865</v>
      </c>
      <c r="F872" s="2">
        <v>32031935</v>
      </c>
      <c r="G872" s="2">
        <f t="shared" si="26"/>
        <v>141086800</v>
      </c>
      <c r="H872">
        <f t="shared" si="27"/>
        <v>0.58892743883727317</v>
      </c>
    </row>
    <row r="873" spans="1:8">
      <c r="A873" t="s">
        <v>82</v>
      </c>
      <c r="B873" s="1" t="s">
        <v>23</v>
      </c>
      <c r="C873" t="s">
        <v>24</v>
      </c>
      <c r="D873" s="2">
        <v>328877972</v>
      </c>
      <c r="E873" s="2">
        <v>70144850</v>
      </c>
      <c r="F873" s="2">
        <v>40056028</v>
      </c>
      <c r="G873" s="2">
        <f t="shared" si="26"/>
        <v>110200878</v>
      </c>
      <c r="H873">
        <f t="shared" si="27"/>
        <v>0.33508135959923763</v>
      </c>
    </row>
    <row r="874" spans="1:8">
      <c r="A874" t="s">
        <v>82</v>
      </c>
      <c r="B874" s="1" t="s">
        <v>25</v>
      </c>
      <c r="C874" t="s">
        <v>26</v>
      </c>
      <c r="D874" s="2">
        <v>238889836</v>
      </c>
      <c r="E874" s="2">
        <v>69538234</v>
      </c>
      <c r="F874" s="2">
        <v>29811336</v>
      </c>
      <c r="G874" s="2">
        <f t="shared" si="26"/>
        <v>99349570</v>
      </c>
      <c r="H874">
        <f t="shared" si="27"/>
        <v>0.41588027211002815</v>
      </c>
    </row>
    <row r="875" spans="1:8">
      <c r="A875" t="s">
        <v>82</v>
      </c>
      <c r="B875">
        <v>10000</v>
      </c>
      <c r="C875" t="s">
        <v>27</v>
      </c>
      <c r="D875" s="2">
        <v>231854645</v>
      </c>
      <c r="E875" s="2">
        <v>70189895</v>
      </c>
      <c r="F875" s="2">
        <v>27677665</v>
      </c>
      <c r="G875" s="2">
        <f t="shared" si="26"/>
        <v>97867560</v>
      </c>
      <c r="H875">
        <f t="shared" si="27"/>
        <v>0.42210739405285586</v>
      </c>
    </row>
    <row r="876" spans="1:8">
      <c r="A876" t="s">
        <v>82</v>
      </c>
      <c r="B876">
        <v>11000</v>
      </c>
      <c r="C876" t="s">
        <v>28</v>
      </c>
      <c r="D876" s="2">
        <v>659383128</v>
      </c>
      <c r="E876" s="2">
        <v>83789495</v>
      </c>
      <c r="F876" s="2">
        <v>54586417</v>
      </c>
      <c r="G876" s="2">
        <f t="shared" si="26"/>
        <v>138375912</v>
      </c>
      <c r="H876">
        <f t="shared" si="27"/>
        <v>0.20985661616746737</v>
      </c>
    </row>
    <row r="877" spans="1:8">
      <c r="A877" t="s">
        <v>82</v>
      </c>
      <c r="B877">
        <v>12000</v>
      </c>
      <c r="C877" t="s">
        <v>29</v>
      </c>
      <c r="D877" s="2">
        <v>591445741</v>
      </c>
      <c r="E877" s="2">
        <v>81988473</v>
      </c>
      <c r="F877" s="2">
        <v>56454647</v>
      </c>
      <c r="G877" s="2">
        <f t="shared" si="26"/>
        <v>138443120</v>
      </c>
      <c r="H877">
        <f t="shared" si="27"/>
        <v>0.23407577467025839</v>
      </c>
    </row>
    <row r="878" spans="1:8">
      <c r="A878" t="s">
        <v>82</v>
      </c>
      <c r="B878">
        <v>13000</v>
      </c>
      <c r="C878" t="s">
        <v>30</v>
      </c>
      <c r="D878" s="2">
        <v>4033314221</v>
      </c>
      <c r="E878" s="2">
        <v>190717405</v>
      </c>
      <c r="F878" s="2">
        <v>120128282</v>
      </c>
      <c r="G878" s="2">
        <f t="shared" si="26"/>
        <v>310845687</v>
      </c>
      <c r="H878">
        <f t="shared" si="27"/>
        <v>7.7069543796399395E-2</v>
      </c>
    </row>
    <row r="879" spans="1:8">
      <c r="A879" t="s">
        <v>82</v>
      </c>
      <c r="B879">
        <v>14000</v>
      </c>
      <c r="C879" t="s">
        <v>31</v>
      </c>
      <c r="D879" s="2">
        <v>882929550</v>
      </c>
      <c r="E879" s="2">
        <v>56147150</v>
      </c>
      <c r="F879" s="2">
        <v>58597343</v>
      </c>
      <c r="G879" s="2">
        <f t="shared" si="26"/>
        <v>114744493</v>
      </c>
      <c r="H879">
        <f t="shared" si="27"/>
        <v>0.12995883193625132</v>
      </c>
    </row>
    <row r="880" spans="1:8">
      <c r="A880" t="s">
        <v>82</v>
      </c>
      <c r="B880">
        <v>15000</v>
      </c>
      <c r="C880" t="s">
        <v>32</v>
      </c>
      <c r="D880" s="2">
        <v>274814601</v>
      </c>
      <c r="E880" s="2">
        <v>183742994</v>
      </c>
      <c r="F880" s="2">
        <v>38075208</v>
      </c>
      <c r="G880" s="2">
        <f t="shared" si="26"/>
        <v>221818202</v>
      </c>
      <c r="H880">
        <f t="shared" si="27"/>
        <v>0.80715581047311236</v>
      </c>
    </row>
    <row r="881" spans="1:8">
      <c r="A881" t="s">
        <v>82</v>
      </c>
      <c r="B881">
        <v>16000</v>
      </c>
      <c r="C881" t="s">
        <v>33</v>
      </c>
      <c r="D881" s="2">
        <v>128610735</v>
      </c>
      <c r="E881" s="2">
        <v>68902044</v>
      </c>
      <c r="F881" s="2">
        <v>18766021</v>
      </c>
      <c r="G881" s="2">
        <f t="shared" si="26"/>
        <v>87668065</v>
      </c>
      <c r="H881">
        <f t="shared" si="27"/>
        <v>0.68165433468675851</v>
      </c>
    </row>
    <row r="882" spans="1:8">
      <c r="A882" t="s">
        <v>82</v>
      </c>
      <c r="B882">
        <v>17000</v>
      </c>
      <c r="C882" t="s">
        <v>34</v>
      </c>
      <c r="D882" s="2">
        <v>143519472</v>
      </c>
      <c r="E882" s="2">
        <v>76793148</v>
      </c>
      <c r="F882" s="2">
        <v>18088682</v>
      </c>
      <c r="G882" s="2">
        <f t="shared" si="26"/>
        <v>94881830</v>
      </c>
      <c r="H882">
        <f t="shared" si="27"/>
        <v>0.6611077136627147</v>
      </c>
    </row>
    <row r="883" spans="1:8">
      <c r="A883" t="s">
        <v>82</v>
      </c>
      <c r="B883">
        <v>18000</v>
      </c>
      <c r="C883" t="s">
        <v>35</v>
      </c>
      <c r="D883" s="2">
        <v>111248026</v>
      </c>
      <c r="E883" s="2">
        <v>60175067</v>
      </c>
      <c r="F883" s="2">
        <v>16433956</v>
      </c>
      <c r="G883" s="2">
        <f t="shared" si="26"/>
        <v>76609023</v>
      </c>
      <c r="H883">
        <f t="shared" si="27"/>
        <v>0.68863265043462429</v>
      </c>
    </row>
    <row r="884" spans="1:8">
      <c r="A884" t="s">
        <v>82</v>
      </c>
      <c r="B884">
        <v>19000</v>
      </c>
      <c r="C884" t="s">
        <v>36</v>
      </c>
      <c r="D884" s="2">
        <v>99463140</v>
      </c>
      <c r="E884" s="2">
        <v>75214568</v>
      </c>
      <c r="F884" s="2">
        <v>10025754</v>
      </c>
      <c r="G884" s="2">
        <f t="shared" si="26"/>
        <v>85240322</v>
      </c>
      <c r="H884">
        <f t="shared" si="27"/>
        <v>0.85700413238512274</v>
      </c>
    </row>
    <row r="885" spans="1:8">
      <c r="A885" t="s">
        <v>82</v>
      </c>
      <c r="B885">
        <v>20000</v>
      </c>
      <c r="C885" t="s">
        <v>37</v>
      </c>
      <c r="D885" s="2">
        <v>256809751</v>
      </c>
      <c r="E885" s="2">
        <v>120102399</v>
      </c>
      <c r="F885" s="2">
        <v>33163699</v>
      </c>
      <c r="G885" s="2">
        <f t="shared" si="26"/>
        <v>153266098</v>
      </c>
      <c r="H885">
        <f t="shared" si="27"/>
        <v>0.59680793818455902</v>
      </c>
    </row>
    <row r="886" spans="1:8">
      <c r="A886" t="s">
        <v>82</v>
      </c>
      <c r="B886">
        <v>21000</v>
      </c>
      <c r="C886" t="s">
        <v>38</v>
      </c>
      <c r="D886" s="2">
        <v>233997343</v>
      </c>
      <c r="E886" s="2">
        <v>90854588</v>
      </c>
      <c r="F886" s="2">
        <v>28776384</v>
      </c>
      <c r="G886" s="2">
        <f t="shared" si="26"/>
        <v>119630972</v>
      </c>
      <c r="H886">
        <f t="shared" si="27"/>
        <v>0.51124927516805185</v>
      </c>
    </row>
    <row r="887" spans="1:8">
      <c r="A887" t="s">
        <v>82</v>
      </c>
      <c r="B887">
        <v>22000</v>
      </c>
      <c r="C887" t="s">
        <v>39</v>
      </c>
      <c r="D887" s="2">
        <v>471367678</v>
      </c>
      <c r="E887" s="2">
        <v>87853935</v>
      </c>
      <c r="F887" s="2">
        <v>35849158</v>
      </c>
      <c r="G887" s="2">
        <f t="shared" si="26"/>
        <v>123703093</v>
      </c>
      <c r="H887">
        <f t="shared" si="27"/>
        <v>0.26243439839759231</v>
      </c>
    </row>
    <row r="888" spans="1:8">
      <c r="A888" t="s">
        <v>82</v>
      </c>
      <c r="B888">
        <v>23000</v>
      </c>
      <c r="C888" t="s">
        <v>40</v>
      </c>
      <c r="D888" s="2">
        <v>1003397104</v>
      </c>
      <c r="E888" s="2">
        <v>101807152</v>
      </c>
      <c r="F888" s="2">
        <v>54367245</v>
      </c>
      <c r="G888" s="2">
        <f t="shared" si="26"/>
        <v>156174397</v>
      </c>
      <c r="H888">
        <f t="shared" si="27"/>
        <v>0.15564565253120363</v>
      </c>
    </row>
    <row r="889" spans="1:8">
      <c r="A889" t="s">
        <v>82</v>
      </c>
      <c r="B889">
        <v>24000</v>
      </c>
      <c r="C889" t="s">
        <v>41</v>
      </c>
      <c r="D889" s="2">
        <v>226819037</v>
      </c>
      <c r="E889" s="2">
        <v>71882002</v>
      </c>
      <c r="F889" s="2">
        <v>21109432</v>
      </c>
      <c r="G889" s="2">
        <f t="shared" si="26"/>
        <v>92991434</v>
      </c>
      <c r="H889">
        <f t="shared" si="27"/>
        <v>0.4099807283812778</v>
      </c>
    </row>
    <row r="890" spans="1:8">
      <c r="A890" t="s">
        <v>82</v>
      </c>
      <c r="B890">
        <v>25000</v>
      </c>
      <c r="C890" t="s">
        <v>42</v>
      </c>
      <c r="D890" s="2">
        <v>154826806</v>
      </c>
      <c r="E890" s="2">
        <v>41823869</v>
      </c>
      <c r="F890" s="2">
        <v>20838406</v>
      </c>
      <c r="G890" s="2">
        <f t="shared" si="26"/>
        <v>62662275</v>
      </c>
      <c r="H890">
        <f t="shared" si="27"/>
        <v>0.40472497378780775</v>
      </c>
    </row>
    <row r="891" spans="1:8">
      <c r="A891" t="s">
        <v>82</v>
      </c>
      <c r="B891">
        <v>26000</v>
      </c>
      <c r="C891" t="s">
        <v>43</v>
      </c>
      <c r="D891" s="2">
        <v>278085309</v>
      </c>
      <c r="E891" s="2">
        <v>45180127</v>
      </c>
      <c r="F891" s="2">
        <v>22277484</v>
      </c>
      <c r="G891" s="2">
        <f t="shared" si="26"/>
        <v>67457611</v>
      </c>
      <c r="H891">
        <f t="shared" si="27"/>
        <v>0.24257883756095869</v>
      </c>
    </row>
    <row r="892" spans="1:8">
      <c r="A892" t="s">
        <v>82</v>
      </c>
      <c r="B892">
        <v>27000</v>
      </c>
      <c r="C892" t="s">
        <v>44</v>
      </c>
      <c r="D892" s="2">
        <v>1096851447</v>
      </c>
      <c r="E892" s="2">
        <v>102986819</v>
      </c>
      <c r="F892" s="2">
        <v>85074647</v>
      </c>
      <c r="G892" s="2">
        <f t="shared" si="26"/>
        <v>188061466</v>
      </c>
      <c r="H892">
        <f t="shared" si="27"/>
        <v>0.17145573041305384</v>
      </c>
    </row>
    <row r="893" spans="1:8">
      <c r="A893" t="s">
        <v>82</v>
      </c>
      <c r="B893">
        <v>28000</v>
      </c>
      <c r="C893" t="s">
        <v>45</v>
      </c>
      <c r="D893" s="2">
        <v>578680927</v>
      </c>
      <c r="E893" s="2">
        <v>138512792</v>
      </c>
      <c r="F893" s="2">
        <v>72479765</v>
      </c>
      <c r="G893" s="2">
        <f t="shared" si="26"/>
        <v>210992557</v>
      </c>
      <c r="H893">
        <f t="shared" si="27"/>
        <v>0.36460948884876587</v>
      </c>
    </row>
    <row r="894" spans="1:8">
      <c r="A894" t="s">
        <v>82</v>
      </c>
      <c r="B894">
        <v>29000</v>
      </c>
      <c r="C894" t="s">
        <v>46</v>
      </c>
      <c r="D894" s="2">
        <v>123065454</v>
      </c>
      <c r="E894" s="2">
        <v>43780583</v>
      </c>
      <c r="F894" s="2">
        <v>17099897</v>
      </c>
      <c r="G894" s="2">
        <f t="shared" si="26"/>
        <v>60880480</v>
      </c>
      <c r="H894">
        <f t="shared" si="27"/>
        <v>0.494699999237804</v>
      </c>
    </row>
    <row r="895" spans="1:8">
      <c r="A895" t="s">
        <v>82</v>
      </c>
      <c r="B895">
        <v>30000</v>
      </c>
      <c r="C895" t="s">
        <v>47</v>
      </c>
      <c r="D895" s="2">
        <v>97483435</v>
      </c>
      <c r="E895" s="2">
        <v>62582510</v>
      </c>
      <c r="F895" s="2">
        <v>15437581</v>
      </c>
      <c r="G895" s="2">
        <f t="shared" si="26"/>
        <v>78020091</v>
      </c>
      <c r="H895">
        <f t="shared" si="27"/>
        <v>0.80034203759849043</v>
      </c>
    </row>
    <row r="896" spans="1:8">
      <c r="A896" t="s">
        <v>82</v>
      </c>
      <c r="B896">
        <v>31000</v>
      </c>
      <c r="C896" t="s">
        <v>48</v>
      </c>
      <c r="D896" s="2">
        <v>62587259</v>
      </c>
      <c r="E896" s="2">
        <v>49292351</v>
      </c>
      <c r="F896" s="2">
        <v>20385992</v>
      </c>
      <c r="G896" s="2">
        <f t="shared" si="26"/>
        <v>69678343</v>
      </c>
      <c r="H896">
        <f t="shared" si="27"/>
        <v>1.1132991620546924</v>
      </c>
    </row>
    <row r="897" spans="1:8">
      <c r="A897" t="s">
        <v>82</v>
      </c>
      <c r="B897">
        <v>32000</v>
      </c>
      <c r="C897" t="s">
        <v>49</v>
      </c>
      <c r="D897" s="2">
        <v>74702606</v>
      </c>
      <c r="E897" s="2">
        <v>99980893</v>
      </c>
      <c r="F897" s="2">
        <v>25992507</v>
      </c>
      <c r="G897" s="2">
        <f t="shared" si="26"/>
        <v>125973400</v>
      </c>
      <c r="H897">
        <f t="shared" si="27"/>
        <v>1.6863320671838409</v>
      </c>
    </row>
    <row r="898" spans="1:8">
      <c r="A898" t="s">
        <v>82</v>
      </c>
      <c r="B898">
        <v>33000</v>
      </c>
      <c r="C898" t="s">
        <v>50</v>
      </c>
      <c r="D898" s="2">
        <v>203482543</v>
      </c>
      <c r="E898" s="2">
        <v>55005365</v>
      </c>
      <c r="F898" s="2">
        <v>25455740</v>
      </c>
      <c r="G898" s="2">
        <f t="shared" si="26"/>
        <v>80461105</v>
      </c>
      <c r="H898">
        <f t="shared" si="27"/>
        <v>0.39542018599600459</v>
      </c>
    </row>
    <row r="899" spans="1:8">
      <c r="A899" t="s">
        <v>82</v>
      </c>
      <c r="B899">
        <v>34000</v>
      </c>
      <c r="C899" t="s">
        <v>51</v>
      </c>
      <c r="D899" s="2">
        <v>300298681</v>
      </c>
      <c r="E899" s="2">
        <v>93743095</v>
      </c>
      <c r="F899" s="2">
        <v>58405182</v>
      </c>
      <c r="G899" s="2">
        <f t="shared" ref="G899:G962" si="28">E899+F899</f>
        <v>152148277</v>
      </c>
      <c r="H899">
        <f t="shared" ref="H899:H962" si="29">G899/D899</f>
        <v>0.50665649443861527</v>
      </c>
    </row>
    <row r="900" spans="1:8">
      <c r="A900" t="s">
        <v>82</v>
      </c>
      <c r="B900">
        <v>35000</v>
      </c>
      <c r="C900" t="s">
        <v>52</v>
      </c>
      <c r="D900" s="2">
        <v>160275183</v>
      </c>
      <c r="E900" s="2">
        <v>91703840</v>
      </c>
      <c r="F900" s="2">
        <v>26026339</v>
      </c>
      <c r="G900" s="2">
        <f t="shared" si="28"/>
        <v>117730179</v>
      </c>
      <c r="H900">
        <f t="shared" si="29"/>
        <v>0.73455027033099696</v>
      </c>
    </row>
    <row r="901" spans="1:8">
      <c r="A901" t="s">
        <v>82</v>
      </c>
      <c r="B901">
        <v>36000</v>
      </c>
      <c r="C901" t="s">
        <v>53</v>
      </c>
      <c r="D901" s="2">
        <v>82940517</v>
      </c>
      <c r="E901" s="2">
        <v>76176090</v>
      </c>
      <c r="F901" s="2">
        <v>13170384</v>
      </c>
      <c r="G901" s="2">
        <f t="shared" si="28"/>
        <v>89346474</v>
      </c>
      <c r="H901">
        <f t="shared" si="29"/>
        <v>1.0772355566580325</v>
      </c>
    </row>
    <row r="902" spans="1:8">
      <c r="A902" t="s">
        <v>82</v>
      </c>
      <c r="B902">
        <v>37000</v>
      </c>
      <c r="C902" t="s">
        <v>54</v>
      </c>
      <c r="D902" s="2">
        <v>113339874</v>
      </c>
      <c r="E902" s="2">
        <v>32507368</v>
      </c>
      <c r="F902" s="2">
        <v>16751394</v>
      </c>
      <c r="G902" s="2">
        <f t="shared" si="28"/>
        <v>49258762</v>
      </c>
      <c r="H902">
        <f t="shared" si="29"/>
        <v>0.43461105312328124</v>
      </c>
    </row>
    <row r="903" spans="1:8">
      <c r="A903" t="s">
        <v>82</v>
      </c>
      <c r="B903">
        <v>38000</v>
      </c>
      <c r="C903" t="s">
        <v>55</v>
      </c>
      <c r="D903" s="2">
        <v>142744940</v>
      </c>
      <c r="E903" s="2">
        <v>68894370</v>
      </c>
      <c r="F903" s="2">
        <v>20832201</v>
      </c>
      <c r="G903" s="2">
        <f t="shared" si="28"/>
        <v>89726571</v>
      </c>
      <c r="H903">
        <f t="shared" si="29"/>
        <v>0.62857969606488329</v>
      </c>
    </row>
    <row r="904" spans="1:8">
      <c r="A904" t="s">
        <v>82</v>
      </c>
      <c r="B904">
        <v>39000</v>
      </c>
      <c r="C904" t="s">
        <v>56</v>
      </c>
      <c r="D904" s="2">
        <v>74399800</v>
      </c>
      <c r="E904" s="2">
        <v>85166208</v>
      </c>
      <c r="F904" s="2">
        <v>18458945</v>
      </c>
      <c r="G904" s="2">
        <f t="shared" si="28"/>
        <v>103625153</v>
      </c>
      <c r="H904">
        <f t="shared" si="29"/>
        <v>1.392814940362743</v>
      </c>
    </row>
    <row r="905" spans="1:8">
      <c r="A905" t="s">
        <v>82</v>
      </c>
      <c r="B905">
        <v>40000</v>
      </c>
      <c r="C905" t="s">
        <v>57</v>
      </c>
      <c r="D905" s="2">
        <v>512577626</v>
      </c>
      <c r="E905" s="2">
        <v>89321476</v>
      </c>
      <c r="F905" s="2">
        <v>59077122</v>
      </c>
      <c r="G905" s="2">
        <f t="shared" si="28"/>
        <v>148398598</v>
      </c>
      <c r="H905">
        <f t="shared" si="29"/>
        <v>0.28951438859721124</v>
      </c>
    </row>
    <row r="906" spans="1:8">
      <c r="A906" t="s">
        <v>82</v>
      </c>
      <c r="B906">
        <v>41000</v>
      </c>
      <c r="C906" t="s">
        <v>58</v>
      </c>
      <c r="D906" s="2">
        <v>91044747</v>
      </c>
      <c r="E906" s="2">
        <v>60431761</v>
      </c>
      <c r="F906" s="2">
        <v>17586756</v>
      </c>
      <c r="G906" s="2">
        <f t="shared" si="28"/>
        <v>78018517</v>
      </c>
      <c r="H906">
        <f t="shared" si="29"/>
        <v>0.85692496899354331</v>
      </c>
    </row>
    <row r="907" spans="1:8">
      <c r="A907" t="s">
        <v>82</v>
      </c>
      <c r="B907">
        <v>42000</v>
      </c>
      <c r="C907" t="s">
        <v>59</v>
      </c>
      <c r="D907" s="2">
        <v>123408600</v>
      </c>
      <c r="E907" s="2">
        <v>119591915</v>
      </c>
      <c r="F907" s="2">
        <v>29387428</v>
      </c>
      <c r="G907" s="2">
        <f t="shared" si="28"/>
        <v>148979343</v>
      </c>
      <c r="H907">
        <f t="shared" si="29"/>
        <v>1.2072038982696505</v>
      </c>
    </row>
    <row r="908" spans="1:8">
      <c r="A908" t="s">
        <v>82</v>
      </c>
      <c r="B908">
        <v>43000</v>
      </c>
      <c r="C908" t="s">
        <v>60</v>
      </c>
      <c r="D908" s="2">
        <v>168847800</v>
      </c>
      <c r="E908" s="2">
        <v>96621875</v>
      </c>
      <c r="F908" s="2">
        <v>27135693</v>
      </c>
      <c r="G908" s="2">
        <f t="shared" si="28"/>
        <v>123757568</v>
      </c>
      <c r="H908">
        <f t="shared" si="29"/>
        <v>0.73295339352955735</v>
      </c>
    </row>
    <row r="909" spans="1:8">
      <c r="A909" t="s">
        <v>82</v>
      </c>
      <c r="B909">
        <v>44000</v>
      </c>
      <c r="C909" t="s">
        <v>61</v>
      </c>
      <c r="D909" s="2">
        <v>116914276</v>
      </c>
      <c r="E909" s="2">
        <v>89809030</v>
      </c>
      <c r="F909" s="2">
        <v>21430779</v>
      </c>
      <c r="G909" s="2">
        <f t="shared" si="28"/>
        <v>111239809</v>
      </c>
      <c r="H909">
        <f t="shared" si="29"/>
        <v>0.95146472104056823</v>
      </c>
    </row>
    <row r="910" spans="1:8">
      <c r="A910" t="s">
        <v>82</v>
      </c>
      <c r="B910">
        <v>45000</v>
      </c>
      <c r="C910" t="s">
        <v>62</v>
      </c>
      <c r="D910" s="2">
        <v>102804657</v>
      </c>
      <c r="E910" s="2">
        <v>74759130</v>
      </c>
      <c r="F910" s="2">
        <v>33625340</v>
      </c>
      <c r="G910" s="2">
        <f t="shared" si="28"/>
        <v>108384470</v>
      </c>
      <c r="H910">
        <f t="shared" si="29"/>
        <v>1.0542758777941352</v>
      </c>
    </row>
    <row r="911" spans="1:8">
      <c r="A911" t="s">
        <v>82</v>
      </c>
      <c r="B911">
        <v>46000</v>
      </c>
      <c r="C911" t="s">
        <v>63</v>
      </c>
      <c r="D911" s="2">
        <v>153917239</v>
      </c>
      <c r="E911" s="2">
        <v>159067486</v>
      </c>
      <c r="F911" s="2">
        <v>38383182</v>
      </c>
      <c r="G911" s="2">
        <f t="shared" si="28"/>
        <v>197450668</v>
      </c>
      <c r="H911">
        <f t="shared" si="29"/>
        <v>1.2828366028577214</v>
      </c>
    </row>
    <row r="912" spans="1:8">
      <c r="A912" t="s">
        <v>82</v>
      </c>
      <c r="B912">
        <v>47000</v>
      </c>
      <c r="C912" t="s">
        <v>64</v>
      </c>
      <c r="D912" s="2">
        <v>95706357</v>
      </c>
      <c r="E912" s="2">
        <v>169672392</v>
      </c>
      <c r="F912" s="2">
        <v>27407379</v>
      </c>
      <c r="G912" s="2">
        <f t="shared" si="28"/>
        <v>197079771</v>
      </c>
      <c r="H912">
        <f t="shared" si="29"/>
        <v>2.0592129632517513</v>
      </c>
    </row>
    <row r="913" spans="1:8">
      <c r="A913" t="s">
        <v>83</v>
      </c>
      <c r="B913" s="1" t="s">
        <v>7</v>
      </c>
      <c r="C913" t="s">
        <v>8</v>
      </c>
      <c r="D913" s="2">
        <v>17237391144</v>
      </c>
      <c r="E913" s="2">
        <v>4621104455</v>
      </c>
      <c r="F913" s="2">
        <v>1571255698</v>
      </c>
      <c r="G913" s="2">
        <f t="shared" si="28"/>
        <v>6192360153</v>
      </c>
      <c r="H913">
        <f t="shared" si="29"/>
        <v>0.35923998598566581</v>
      </c>
    </row>
    <row r="914" spans="1:8">
      <c r="A914" t="s">
        <v>83</v>
      </c>
      <c r="B914" s="1" t="s">
        <v>9</v>
      </c>
      <c r="C914" t="s">
        <v>10</v>
      </c>
      <c r="D914" s="2">
        <v>610961646</v>
      </c>
      <c r="E914" s="2">
        <v>406092085</v>
      </c>
      <c r="F914" s="2">
        <v>98196622</v>
      </c>
      <c r="G914" s="2">
        <f t="shared" si="28"/>
        <v>504288707</v>
      </c>
      <c r="H914">
        <f t="shared" si="29"/>
        <v>0.82540157848140927</v>
      </c>
    </row>
    <row r="915" spans="1:8">
      <c r="A915" t="s">
        <v>83</v>
      </c>
      <c r="B915" s="1" t="s">
        <v>11</v>
      </c>
      <c r="C915" t="s">
        <v>12</v>
      </c>
      <c r="D915" s="2">
        <v>136878526</v>
      </c>
      <c r="E915" s="2">
        <v>94474002</v>
      </c>
      <c r="F915" s="2">
        <v>33554872</v>
      </c>
      <c r="G915" s="2">
        <f t="shared" si="28"/>
        <v>128028874</v>
      </c>
      <c r="H915">
        <f t="shared" si="29"/>
        <v>0.93534667373609792</v>
      </c>
    </row>
    <row r="916" spans="1:8">
      <c r="A916" t="s">
        <v>83</v>
      </c>
      <c r="B916" s="1" t="s">
        <v>13</v>
      </c>
      <c r="C916" t="s">
        <v>14</v>
      </c>
      <c r="D916" s="2">
        <v>139143262</v>
      </c>
      <c r="E916" s="2">
        <v>112233382</v>
      </c>
      <c r="F916" s="2">
        <v>29134198</v>
      </c>
      <c r="G916" s="2">
        <f t="shared" si="28"/>
        <v>141367580</v>
      </c>
      <c r="H916">
        <f t="shared" si="29"/>
        <v>1.0159858118030898</v>
      </c>
    </row>
    <row r="917" spans="1:8">
      <c r="A917" t="s">
        <v>83</v>
      </c>
      <c r="B917" s="1" t="s">
        <v>15</v>
      </c>
      <c r="C917" t="s">
        <v>16</v>
      </c>
      <c r="D917" s="2">
        <v>272179121</v>
      </c>
      <c r="E917" s="2">
        <v>92136229</v>
      </c>
      <c r="F917" s="2">
        <v>25653676</v>
      </c>
      <c r="G917" s="2">
        <f t="shared" si="28"/>
        <v>117789905</v>
      </c>
      <c r="H917">
        <f t="shared" si="29"/>
        <v>0.43276613050712293</v>
      </c>
    </row>
    <row r="918" spans="1:8">
      <c r="A918" t="s">
        <v>83</v>
      </c>
      <c r="B918" s="1" t="s">
        <v>17</v>
      </c>
      <c r="C918" t="s">
        <v>18</v>
      </c>
      <c r="D918" s="2">
        <v>115278515</v>
      </c>
      <c r="E918" s="2">
        <v>99872921</v>
      </c>
      <c r="F918" s="2">
        <v>23135031</v>
      </c>
      <c r="G918" s="2">
        <f t="shared" si="28"/>
        <v>123007952</v>
      </c>
      <c r="H918">
        <f t="shared" si="29"/>
        <v>1.0670501090337605</v>
      </c>
    </row>
    <row r="919" spans="1:8">
      <c r="A919" t="s">
        <v>83</v>
      </c>
      <c r="B919" s="1" t="s">
        <v>19</v>
      </c>
      <c r="C919" t="s">
        <v>20</v>
      </c>
      <c r="D919" s="2">
        <v>125222437</v>
      </c>
      <c r="E919" s="2">
        <v>80118898</v>
      </c>
      <c r="F919" s="2">
        <v>25221842</v>
      </c>
      <c r="G919" s="2">
        <f t="shared" si="28"/>
        <v>105340740</v>
      </c>
      <c r="H919">
        <f t="shared" si="29"/>
        <v>0.84122895643693629</v>
      </c>
    </row>
    <row r="920" spans="1:8">
      <c r="A920" t="s">
        <v>83</v>
      </c>
      <c r="B920" s="1" t="s">
        <v>21</v>
      </c>
      <c r="C920" t="s">
        <v>22</v>
      </c>
      <c r="D920" s="2">
        <v>255631556</v>
      </c>
      <c r="E920" s="2">
        <v>115933191</v>
      </c>
      <c r="F920" s="2">
        <v>30711595</v>
      </c>
      <c r="G920" s="2">
        <f t="shared" si="28"/>
        <v>146644786</v>
      </c>
      <c r="H920">
        <f t="shared" si="29"/>
        <v>0.57365682193007506</v>
      </c>
    </row>
    <row r="921" spans="1:8">
      <c r="A921" t="s">
        <v>83</v>
      </c>
      <c r="B921" s="1" t="s">
        <v>23</v>
      </c>
      <c r="C921" t="s">
        <v>24</v>
      </c>
      <c r="D921" s="2">
        <v>351991837</v>
      </c>
      <c r="E921" s="2">
        <v>73837462</v>
      </c>
      <c r="F921" s="2">
        <v>38687465</v>
      </c>
      <c r="G921" s="2">
        <f t="shared" si="28"/>
        <v>112524927</v>
      </c>
      <c r="H921">
        <f t="shared" si="29"/>
        <v>0.31968050156799516</v>
      </c>
    </row>
    <row r="922" spans="1:8">
      <c r="A922" t="s">
        <v>83</v>
      </c>
      <c r="B922" s="1" t="s">
        <v>25</v>
      </c>
      <c r="C922" t="s">
        <v>26</v>
      </c>
      <c r="D922" s="2">
        <v>248964209</v>
      </c>
      <c r="E922" s="2">
        <v>64197199</v>
      </c>
      <c r="F922" s="2">
        <v>26685149</v>
      </c>
      <c r="G922" s="2">
        <f t="shared" si="28"/>
        <v>90882348</v>
      </c>
      <c r="H922">
        <f t="shared" si="29"/>
        <v>0.36504182012764735</v>
      </c>
    </row>
    <row r="923" spans="1:8">
      <c r="A923" t="s">
        <v>83</v>
      </c>
      <c r="B923">
        <v>10000</v>
      </c>
      <c r="C923" t="s">
        <v>27</v>
      </c>
      <c r="D923" s="2">
        <v>249047815</v>
      </c>
      <c r="E923" s="2">
        <v>66253045</v>
      </c>
      <c r="F923" s="2">
        <v>25431240</v>
      </c>
      <c r="G923" s="2">
        <f t="shared" si="28"/>
        <v>91684285</v>
      </c>
      <c r="H923">
        <f t="shared" si="29"/>
        <v>0.36813928682731067</v>
      </c>
    </row>
    <row r="924" spans="1:8">
      <c r="A924" t="s">
        <v>83</v>
      </c>
      <c r="B924">
        <v>11000</v>
      </c>
      <c r="C924" t="s">
        <v>28</v>
      </c>
      <c r="D924" s="2">
        <v>686371346</v>
      </c>
      <c r="E924" s="2">
        <v>81523173</v>
      </c>
      <c r="F924" s="2">
        <v>53062309</v>
      </c>
      <c r="G924" s="2">
        <f t="shared" si="28"/>
        <v>134585482</v>
      </c>
      <c r="H924">
        <f t="shared" si="29"/>
        <v>0.19608260569782002</v>
      </c>
    </row>
    <row r="925" spans="1:8">
      <c r="A925" t="s">
        <v>83</v>
      </c>
      <c r="B925">
        <v>12000</v>
      </c>
      <c r="C925" t="s">
        <v>29</v>
      </c>
      <c r="D925" s="2">
        <v>598448287</v>
      </c>
      <c r="E925" s="2">
        <v>83362586</v>
      </c>
      <c r="F925" s="2">
        <v>47282369</v>
      </c>
      <c r="G925" s="2">
        <f t="shared" si="28"/>
        <v>130644955</v>
      </c>
      <c r="H925">
        <f t="shared" si="29"/>
        <v>0.21830617254319251</v>
      </c>
    </row>
    <row r="926" spans="1:8">
      <c r="A926" t="s">
        <v>83</v>
      </c>
      <c r="B926">
        <v>13000</v>
      </c>
      <c r="C926" t="s">
        <v>30</v>
      </c>
      <c r="D926" s="2">
        <v>4199902828</v>
      </c>
      <c r="E926" s="2">
        <v>224986511</v>
      </c>
      <c r="F926" s="2">
        <v>119808446</v>
      </c>
      <c r="G926" s="2">
        <f t="shared" si="28"/>
        <v>344794957</v>
      </c>
      <c r="H926">
        <f t="shared" si="29"/>
        <v>8.2095936768182776E-2</v>
      </c>
    </row>
    <row r="927" spans="1:8">
      <c r="A927" t="s">
        <v>83</v>
      </c>
      <c r="B927">
        <v>14000</v>
      </c>
      <c r="C927" t="s">
        <v>31</v>
      </c>
      <c r="D927" s="2">
        <v>953247052</v>
      </c>
      <c r="E927" s="2">
        <v>61526419</v>
      </c>
      <c r="F927" s="2">
        <v>51783962</v>
      </c>
      <c r="G927" s="2">
        <f t="shared" si="28"/>
        <v>113310381</v>
      </c>
      <c r="H927">
        <f t="shared" si="29"/>
        <v>0.11886780112486517</v>
      </c>
    </row>
    <row r="928" spans="1:8">
      <c r="A928" t="s">
        <v>83</v>
      </c>
      <c r="B928">
        <v>15000</v>
      </c>
      <c r="C928" t="s">
        <v>32</v>
      </c>
      <c r="D928" s="2">
        <v>289751775</v>
      </c>
      <c r="E928" s="2">
        <v>205775729</v>
      </c>
      <c r="F928" s="2">
        <v>37809272</v>
      </c>
      <c r="G928" s="2">
        <f t="shared" si="28"/>
        <v>243585001</v>
      </c>
      <c r="H928">
        <f t="shared" si="29"/>
        <v>0.84066784750498935</v>
      </c>
    </row>
    <row r="929" spans="1:8">
      <c r="A929" t="s">
        <v>83</v>
      </c>
      <c r="B929">
        <v>16000</v>
      </c>
      <c r="C929" t="s">
        <v>33</v>
      </c>
      <c r="D929" s="2">
        <v>135117929</v>
      </c>
      <c r="E929" s="2">
        <v>69806972</v>
      </c>
      <c r="F929" s="2">
        <v>16803740</v>
      </c>
      <c r="G929" s="2">
        <f t="shared" si="28"/>
        <v>86610712</v>
      </c>
      <c r="H929">
        <f t="shared" si="29"/>
        <v>0.6410008844940186</v>
      </c>
    </row>
    <row r="930" spans="1:8">
      <c r="A930" t="s">
        <v>83</v>
      </c>
      <c r="B930">
        <v>17000</v>
      </c>
      <c r="C930" t="s">
        <v>34</v>
      </c>
      <c r="D930" s="2">
        <v>149611399</v>
      </c>
      <c r="E930" s="2">
        <v>77460339</v>
      </c>
      <c r="F930" s="2">
        <v>17266281</v>
      </c>
      <c r="G930" s="2">
        <f t="shared" si="28"/>
        <v>94726620</v>
      </c>
      <c r="H930">
        <f t="shared" si="29"/>
        <v>0.63315108763871664</v>
      </c>
    </row>
    <row r="931" spans="1:8">
      <c r="A931" t="s">
        <v>83</v>
      </c>
      <c r="B931">
        <v>18000</v>
      </c>
      <c r="C931" t="s">
        <v>35</v>
      </c>
      <c r="D931" s="2">
        <v>120448467</v>
      </c>
      <c r="E931" s="2">
        <v>76219771</v>
      </c>
      <c r="F931" s="2">
        <v>15544716</v>
      </c>
      <c r="G931" s="2">
        <f t="shared" si="28"/>
        <v>91764487</v>
      </c>
      <c r="H931">
        <f t="shared" si="29"/>
        <v>0.76185682794949972</v>
      </c>
    </row>
    <row r="932" spans="1:8">
      <c r="A932" t="s">
        <v>83</v>
      </c>
      <c r="B932">
        <v>19000</v>
      </c>
      <c r="C932" t="s">
        <v>36</v>
      </c>
      <c r="D932" s="2">
        <v>110558773</v>
      </c>
      <c r="E932" s="2">
        <v>75183615</v>
      </c>
      <c r="F932" s="2">
        <v>10120283</v>
      </c>
      <c r="G932" s="2">
        <f t="shared" si="28"/>
        <v>85303898</v>
      </c>
      <c r="H932">
        <f t="shared" si="29"/>
        <v>0.77157059259331684</v>
      </c>
    </row>
    <row r="933" spans="1:8">
      <c r="A933" t="s">
        <v>83</v>
      </c>
      <c r="B933">
        <v>20000</v>
      </c>
      <c r="C933" t="s">
        <v>37</v>
      </c>
      <c r="D933" s="2">
        <v>284514565</v>
      </c>
      <c r="E933" s="2">
        <v>127658665</v>
      </c>
      <c r="F933" s="2">
        <v>33318964</v>
      </c>
      <c r="G933" s="2">
        <f t="shared" si="28"/>
        <v>160977629</v>
      </c>
      <c r="H933">
        <f t="shared" si="29"/>
        <v>0.56579749792422751</v>
      </c>
    </row>
    <row r="934" spans="1:8">
      <c r="A934" t="s">
        <v>83</v>
      </c>
      <c r="B934">
        <v>21000</v>
      </c>
      <c r="C934" t="s">
        <v>38</v>
      </c>
      <c r="D934" s="2">
        <v>246494073</v>
      </c>
      <c r="E934" s="2">
        <v>94196382</v>
      </c>
      <c r="F934" s="2">
        <v>28583262</v>
      </c>
      <c r="G934" s="2">
        <f t="shared" si="28"/>
        <v>122779644</v>
      </c>
      <c r="H934">
        <f t="shared" si="29"/>
        <v>0.49810383878885395</v>
      </c>
    </row>
    <row r="935" spans="1:8">
      <c r="A935" t="s">
        <v>83</v>
      </c>
      <c r="B935">
        <v>22000</v>
      </c>
      <c r="C935" t="s">
        <v>39</v>
      </c>
      <c r="D935" s="2">
        <v>498035698</v>
      </c>
      <c r="E935" s="2">
        <v>95631876</v>
      </c>
      <c r="F935" s="2">
        <v>37818023</v>
      </c>
      <c r="G935" s="2">
        <f t="shared" si="28"/>
        <v>133449899</v>
      </c>
      <c r="H935">
        <f t="shared" si="29"/>
        <v>0.26795247717363424</v>
      </c>
    </row>
    <row r="936" spans="1:8">
      <c r="A936" t="s">
        <v>83</v>
      </c>
      <c r="B936">
        <v>23000</v>
      </c>
      <c r="C936" t="s">
        <v>40</v>
      </c>
      <c r="D936" s="2">
        <v>1072582711</v>
      </c>
      <c r="E936" s="2">
        <v>114131074</v>
      </c>
      <c r="F936" s="2">
        <v>54391109</v>
      </c>
      <c r="G936" s="2">
        <f t="shared" si="28"/>
        <v>168522183</v>
      </c>
      <c r="H936">
        <f t="shared" si="29"/>
        <v>0.15711812363904493</v>
      </c>
    </row>
    <row r="937" spans="1:8">
      <c r="A937" t="s">
        <v>83</v>
      </c>
      <c r="B937">
        <v>24000</v>
      </c>
      <c r="C937" t="s">
        <v>41</v>
      </c>
      <c r="D937" s="2">
        <v>234268168</v>
      </c>
      <c r="E937" s="2">
        <v>66115547</v>
      </c>
      <c r="F937" s="2">
        <v>21547773</v>
      </c>
      <c r="G937" s="2">
        <f t="shared" si="28"/>
        <v>87663320</v>
      </c>
      <c r="H937">
        <f t="shared" si="29"/>
        <v>0.37420073221386185</v>
      </c>
    </row>
    <row r="938" spans="1:8">
      <c r="A938" t="s">
        <v>83</v>
      </c>
      <c r="B938">
        <v>25000</v>
      </c>
      <c r="C938" t="s">
        <v>42</v>
      </c>
      <c r="D938" s="2">
        <v>160441681</v>
      </c>
      <c r="E938" s="2">
        <v>42111668</v>
      </c>
      <c r="F938" s="2">
        <v>18401870</v>
      </c>
      <c r="G938" s="2">
        <f t="shared" si="28"/>
        <v>60513538</v>
      </c>
      <c r="H938">
        <f t="shared" si="29"/>
        <v>0.37716843667326072</v>
      </c>
    </row>
    <row r="939" spans="1:8">
      <c r="A939" t="s">
        <v>83</v>
      </c>
      <c r="B939">
        <v>26000</v>
      </c>
      <c r="C939" t="s">
        <v>43</v>
      </c>
      <c r="D939" s="2">
        <v>322378108</v>
      </c>
      <c r="E939" s="2">
        <v>53445041</v>
      </c>
      <c r="F939" s="2">
        <v>19944884</v>
      </c>
      <c r="G939" s="2">
        <f t="shared" si="28"/>
        <v>73389925</v>
      </c>
      <c r="H939">
        <f t="shared" si="29"/>
        <v>0.22765170208145771</v>
      </c>
    </row>
    <row r="940" spans="1:8">
      <c r="A940" t="s">
        <v>83</v>
      </c>
      <c r="B940">
        <v>27000</v>
      </c>
      <c r="C940" t="s">
        <v>44</v>
      </c>
      <c r="D940" s="2">
        <v>1152283631</v>
      </c>
      <c r="E940" s="2">
        <v>108996350</v>
      </c>
      <c r="F940" s="2">
        <v>74578687</v>
      </c>
      <c r="G940" s="2">
        <f t="shared" si="28"/>
        <v>183575037</v>
      </c>
      <c r="H940">
        <f t="shared" si="29"/>
        <v>0.15931410640684524</v>
      </c>
    </row>
    <row r="941" spans="1:8">
      <c r="A941" t="s">
        <v>83</v>
      </c>
      <c r="B941">
        <v>28000</v>
      </c>
      <c r="C941" t="s">
        <v>45</v>
      </c>
      <c r="D941" s="2">
        <v>617751460</v>
      </c>
      <c r="E941" s="2">
        <v>135744764</v>
      </c>
      <c r="F941" s="2">
        <v>62297920</v>
      </c>
      <c r="G941" s="2">
        <f t="shared" si="28"/>
        <v>198042684</v>
      </c>
      <c r="H941">
        <f t="shared" si="29"/>
        <v>0.32058634713708323</v>
      </c>
    </row>
    <row r="942" spans="1:8">
      <c r="A942" t="s">
        <v>83</v>
      </c>
      <c r="B942">
        <v>29000</v>
      </c>
      <c r="C942" t="s">
        <v>46</v>
      </c>
      <c r="D942" s="2">
        <v>124016202</v>
      </c>
      <c r="E942" s="2">
        <v>43617955</v>
      </c>
      <c r="F942" s="2">
        <v>15678277</v>
      </c>
      <c r="G942" s="2">
        <f t="shared" si="28"/>
        <v>59296232</v>
      </c>
      <c r="H942">
        <f t="shared" si="29"/>
        <v>0.47813294588718336</v>
      </c>
    </row>
    <row r="943" spans="1:8">
      <c r="A943" t="s">
        <v>83</v>
      </c>
      <c r="B943">
        <v>30000</v>
      </c>
      <c r="C943" t="s">
        <v>47</v>
      </c>
      <c r="D943" s="2">
        <v>98501147</v>
      </c>
      <c r="E943" s="2">
        <v>62981645</v>
      </c>
      <c r="F943" s="2">
        <v>15617807</v>
      </c>
      <c r="G943" s="2">
        <f t="shared" si="28"/>
        <v>78599452</v>
      </c>
      <c r="H943">
        <f t="shared" si="29"/>
        <v>0.7979546877763769</v>
      </c>
    </row>
    <row r="944" spans="1:8">
      <c r="A944" t="s">
        <v>83</v>
      </c>
      <c r="B944">
        <v>31000</v>
      </c>
      <c r="C944" t="s">
        <v>48</v>
      </c>
      <c r="D944" s="2">
        <v>64287818</v>
      </c>
      <c r="E944" s="2">
        <v>53545426</v>
      </c>
      <c r="F944" s="2">
        <v>20923302</v>
      </c>
      <c r="G944" s="2">
        <f t="shared" si="28"/>
        <v>74468728</v>
      </c>
      <c r="H944">
        <f t="shared" si="29"/>
        <v>1.1583645287198892</v>
      </c>
    </row>
    <row r="945" spans="1:8">
      <c r="A945" t="s">
        <v>83</v>
      </c>
      <c r="B945">
        <v>32000</v>
      </c>
      <c r="C945" t="s">
        <v>49</v>
      </c>
      <c r="D945" s="2">
        <v>83665749</v>
      </c>
      <c r="E945" s="2">
        <v>94698404</v>
      </c>
      <c r="F945" s="2">
        <v>25142800</v>
      </c>
      <c r="G945" s="2">
        <f t="shared" si="28"/>
        <v>119841204</v>
      </c>
      <c r="H945">
        <f t="shared" si="29"/>
        <v>1.4323806985819252</v>
      </c>
    </row>
    <row r="946" spans="1:8">
      <c r="A946" t="s">
        <v>83</v>
      </c>
      <c r="B946">
        <v>33000</v>
      </c>
      <c r="C946" t="s">
        <v>50</v>
      </c>
      <c r="D946" s="2">
        <v>209854720</v>
      </c>
      <c r="E946" s="2">
        <v>55758409</v>
      </c>
      <c r="F946" s="2">
        <v>26721945</v>
      </c>
      <c r="G946" s="2">
        <f t="shared" si="28"/>
        <v>82480354</v>
      </c>
      <c r="H946">
        <f t="shared" si="29"/>
        <v>0.39303549617563999</v>
      </c>
    </row>
    <row r="947" spans="1:8">
      <c r="A947" t="s">
        <v>83</v>
      </c>
      <c r="B947">
        <v>34000</v>
      </c>
      <c r="C947" t="s">
        <v>51</v>
      </c>
      <c r="D947" s="2">
        <v>313987393</v>
      </c>
      <c r="E947" s="2">
        <v>94493840</v>
      </c>
      <c r="F947" s="2">
        <v>56056463</v>
      </c>
      <c r="G947" s="2">
        <f t="shared" si="28"/>
        <v>150550303</v>
      </c>
      <c r="H947">
        <f t="shared" si="29"/>
        <v>0.47947881461597408</v>
      </c>
    </row>
    <row r="948" spans="1:8">
      <c r="A948" t="s">
        <v>83</v>
      </c>
      <c r="B948">
        <v>35000</v>
      </c>
      <c r="C948" t="s">
        <v>52</v>
      </c>
      <c r="D948" s="2">
        <v>170666166</v>
      </c>
      <c r="E948" s="2">
        <v>88905799</v>
      </c>
      <c r="F948" s="2">
        <v>25259754</v>
      </c>
      <c r="G948" s="2">
        <f t="shared" si="28"/>
        <v>114165553</v>
      </c>
      <c r="H948">
        <f t="shared" si="29"/>
        <v>0.66894074950977689</v>
      </c>
    </row>
    <row r="949" spans="1:8">
      <c r="A949" t="s">
        <v>83</v>
      </c>
      <c r="B949">
        <v>36000</v>
      </c>
      <c r="C949" t="s">
        <v>53</v>
      </c>
      <c r="D949" s="2">
        <v>85005581</v>
      </c>
      <c r="E949" s="2">
        <v>68559382</v>
      </c>
      <c r="F949" s="2">
        <v>12342432</v>
      </c>
      <c r="G949" s="2">
        <f t="shared" si="28"/>
        <v>80901814</v>
      </c>
      <c r="H949">
        <f t="shared" si="29"/>
        <v>0.95172355800967934</v>
      </c>
    </row>
    <row r="950" spans="1:8">
      <c r="A950" t="s">
        <v>83</v>
      </c>
      <c r="B950">
        <v>37000</v>
      </c>
      <c r="C950" t="s">
        <v>54</v>
      </c>
      <c r="D950" s="2">
        <v>120805057</v>
      </c>
      <c r="E950" s="2">
        <v>33086268</v>
      </c>
      <c r="F950" s="2">
        <v>16474940</v>
      </c>
      <c r="G950" s="2">
        <f t="shared" si="28"/>
        <v>49561208</v>
      </c>
      <c r="H950">
        <f t="shared" si="29"/>
        <v>0.41025772621422629</v>
      </c>
    </row>
    <row r="951" spans="1:8">
      <c r="A951" t="s">
        <v>83</v>
      </c>
      <c r="B951">
        <v>38000</v>
      </c>
      <c r="C951" t="s">
        <v>55</v>
      </c>
      <c r="D951" s="2">
        <v>153600167</v>
      </c>
      <c r="E951" s="2">
        <v>74187025</v>
      </c>
      <c r="F951" s="2">
        <v>19754822</v>
      </c>
      <c r="G951" s="2">
        <f t="shared" si="28"/>
        <v>93941847</v>
      </c>
      <c r="H951">
        <f t="shared" si="29"/>
        <v>0.61159990145062793</v>
      </c>
    </row>
    <row r="952" spans="1:8">
      <c r="A952" t="s">
        <v>83</v>
      </c>
      <c r="B952">
        <v>39000</v>
      </c>
      <c r="C952" t="s">
        <v>56</v>
      </c>
      <c r="D952" s="2">
        <v>75307099</v>
      </c>
      <c r="E952" s="2">
        <v>75170778</v>
      </c>
      <c r="F952" s="2">
        <v>17850127</v>
      </c>
      <c r="G952" s="2">
        <f t="shared" si="28"/>
        <v>93020905</v>
      </c>
      <c r="H952">
        <f t="shared" si="29"/>
        <v>1.235220931827423</v>
      </c>
    </row>
    <row r="953" spans="1:8">
      <c r="A953" t="s">
        <v>83</v>
      </c>
      <c r="B953">
        <v>40000</v>
      </c>
      <c r="C953" t="s">
        <v>57</v>
      </c>
      <c r="D953" s="2">
        <v>519326730</v>
      </c>
      <c r="E953" s="2">
        <v>87090391</v>
      </c>
      <c r="F953" s="2">
        <v>55014304</v>
      </c>
      <c r="G953" s="2">
        <f t="shared" si="28"/>
        <v>142104695</v>
      </c>
      <c r="H953">
        <f t="shared" si="29"/>
        <v>0.27363254535348103</v>
      </c>
    </row>
    <row r="954" spans="1:8">
      <c r="A954" t="s">
        <v>83</v>
      </c>
      <c r="B954">
        <v>41000</v>
      </c>
      <c r="C954" t="s">
        <v>58</v>
      </c>
      <c r="D954" s="2">
        <v>97390925</v>
      </c>
      <c r="E954" s="2">
        <v>63812267</v>
      </c>
      <c r="F954" s="2">
        <v>16327978</v>
      </c>
      <c r="G954" s="2">
        <f t="shared" si="28"/>
        <v>80140245</v>
      </c>
      <c r="H954">
        <f t="shared" si="29"/>
        <v>0.82287179221267281</v>
      </c>
    </row>
    <row r="955" spans="1:8">
      <c r="A955" t="s">
        <v>83</v>
      </c>
      <c r="B955">
        <v>42000</v>
      </c>
      <c r="C955" t="s">
        <v>59</v>
      </c>
      <c r="D955" s="2">
        <v>128245518</v>
      </c>
      <c r="E955" s="2">
        <v>128641774</v>
      </c>
      <c r="F955" s="2">
        <v>28038116</v>
      </c>
      <c r="G955" s="2">
        <f t="shared" si="28"/>
        <v>156679890</v>
      </c>
      <c r="H955">
        <f t="shared" si="29"/>
        <v>1.2217182513933937</v>
      </c>
    </row>
    <row r="956" spans="1:8">
      <c r="A956" t="s">
        <v>83</v>
      </c>
      <c r="B956">
        <v>43000</v>
      </c>
      <c r="C956" t="s">
        <v>60</v>
      </c>
      <c r="D956" s="2">
        <v>173113954</v>
      </c>
      <c r="E956" s="2">
        <v>103924197</v>
      </c>
      <c r="F956" s="2">
        <v>24997725</v>
      </c>
      <c r="G956" s="2">
        <f t="shared" si="28"/>
        <v>128921922</v>
      </c>
      <c r="H956">
        <f t="shared" si="29"/>
        <v>0.74472287774098211</v>
      </c>
    </row>
    <row r="957" spans="1:8">
      <c r="A957" t="s">
        <v>83</v>
      </c>
      <c r="B957">
        <v>44000</v>
      </c>
      <c r="C957" t="s">
        <v>61</v>
      </c>
      <c r="D957" s="2">
        <v>121459656</v>
      </c>
      <c r="E957" s="2">
        <v>87193466</v>
      </c>
      <c r="F957" s="2">
        <v>19915793</v>
      </c>
      <c r="G957" s="2">
        <f t="shared" si="28"/>
        <v>107109259</v>
      </c>
      <c r="H957">
        <f t="shared" si="29"/>
        <v>0.88185050515868413</v>
      </c>
    </row>
    <row r="958" spans="1:8">
      <c r="A958" t="s">
        <v>83</v>
      </c>
      <c r="B958">
        <v>45000</v>
      </c>
      <c r="C958" t="s">
        <v>62</v>
      </c>
      <c r="D958" s="2">
        <v>106641251</v>
      </c>
      <c r="E958" s="2">
        <v>87103758</v>
      </c>
      <c r="F958" s="2">
        <v>31119547</v>
      </c>
      <c r="G958" s="2">
        <f t="shared" si="28"/>
        <v>118223305</v>
      </c>
      <c r="H958">
        <f t="shared" si="29"/>
        <v>1.1086076343946865</v>
      </c>
    </row>
    <row r="959" spans="1:8">
      <c r="A959" t="s">
        <v>83</v>
      </c>
      <c r="B959">
        <v>46000</v>
      </c>
      <c r="C959" t="s">
        <v>63</v>
      </c>
      <c r="D959" s="2">
        <v>158392500</v>
      </c>
      <c r="E959" s="2">
        <v>159201661</v>
      </c>
      <c r="F959" s="2">
        <v>42721566</v>
      </c>
      <c r="G959" s="2">
        <f t="shared" si="28"/>
        <v>201923227</v>
      </c>
      <c r="H959">
        <f t="shared" si="29"/>
        <v>1.2748282084063323</v>
      </c>
    </row>
    <row r="960" spans="1:8">
      <c r="A960" t="s">
        <v>83</v>
      </c>
      <c r="B960">
        <v>47000</v>
      </c>
      <c r="C960" t="s">
        <v>64</v>
      </c>
      <c r="D960" s="2">
        <v>95616636</v>
      </c>
      <c r="E960" s="2">
        <v>160107114</v>
      </c>
      <c r="F960" s="2">
        <v>24522440</v>
      </c>
      <c r="G960" s="2">
        <f t="shared" si="28"/>
        <v>184629554</v>
      </c>
      <c r="H960">
        <f t="shared" si="29"/>
        <v>1.9309354702669104</v>
      </c>
    </row>
    <row r="961" spans="1:8">
      <c r="A961" t="s">
        <v>84</v>
      </c>
      <c r="B961" s="1" t="s">
        <v>7</v>
      </c>
      <c r="C961" t="s">
        <v>8</v>
      </c>
      <c r="D961" s="2">
        <v>16872602103</v>
      </c>
      <c r="E961" s="2">
        <v>4264954808</v>
      </c>
      <c r="F961" s="2">
        <v>1404148364</v>
      </c>
      <c r="G961" s="2">
        <f t="shared" si="28"/>
        <v>5669103172</v>
      </c>
      <c r="H961">
        <f t="shared" si="29"/>
        <v>0.33599459866312004</v>
      </c>
    </row>
    <row r="962" spans="1:8">
      <c r="A962" t="s">
        <v>84</v>
      </c>
      <c r="B962" s="1" t="s">
        <v>9</v>
      </c>
      <c r="C962" t="s">
        <v>10</v>
      </c>
      <c r="D962" s="2">
        <v>565248299</v>
      </c>
      <c r="E962" s="2">
        <v>359322339</v>
      </c>
      <c r="F962" s="2">
        <v>100831949</v>
      </c>
      <c r="G962" s="2">
        <f t="shared" si="28"/>
        <v>460154288</v>
      </c>
      <c r="H962">
        <f t="shared" si="29"/>
        <v>0.81407460900647488</v>
      </c>
    </row>
    <row r="963" spans="1:8">
      <c r="A963" t="s">
        <v>84</v>
      </c>
      <c r="B963" s="1" t="s">
        <v>11</v>
      </c>
      <c r="C963" t="s">
        <v>12</v>
      </c>
      <c r="D963" s="2">
        <v>121106092</v>
      </c>
      <c r="E963" s="2">
        <v>93045699</v>
      </c>
      <c r="F963" s="2">
        <v>34641575</v>
      </c>
      <c r="G963" s="2">
        <f t="shared" ref="G963:G1026" si="30">E963+F963</f>
        <v>127687274</v>
      </c>
      <c r="H963">
        <f t="shared" ref="H963:H1026" si="31">G963/D963</f>
        <v>1.0543422869264083</v>
      </c>
    </row>
    <row r="964" spans="1:8">
      <c r="A964" t="s">
        <v>84</v>
      </c>
      <c r="B964" s="1" t="s">
        <v>13</v>
      </c>
      <c r="C964" t="s">
        <v>14</v>
      </c>
      <c r="D964" s="2">
        <v>128768254</v>
      </c>
      <c r="E964" s="2">
        <v>112798319</v>
      </c>
      <c r="F964" s="2">
        <v>30668358</v>
      </c>
      <c r="G964" s="2">
        <f t="shared" si="30"/>
        <v>143466677</v>
      </c>
      <c r="H964">
        <f t="shared" si="31"/>
        <v>1.1141463252270238</v>
      </c>
    </row>
    <row r="965" spans="1:8">
      <c r="A965" t="s">
        <v>84</v>
      </c>
      <c r="B965" s="1" t="s">
        <v>15</v>
      </c>
      <c r="C965" t="s">
        <v>16</v>
      </c>
      <c r="D965" s="2">
        <v>264393689</v>
      </c>
      <c r="E965" s="2">
        <v>89067539</v>
      </c>
      <c r="F965" s="2">
        <v>26146287</v>
      </c>
      <c r="G965" s="2">
        <f t="shared" si="30"/>
        <v>115213826</v>
      </c>
      <c r="H965">
        <f t="shared" si="31"/>
        <v>0.43576617292101855</v>
      </c>
    </row>
    <row r="966" spans="1:8">
      <c r="A966" t="s">
        <v>84</v>
      </c>
      <c r="B966" s="1" t="s">
        <v>17</v>
      </c>
      <c r="C966" t="s">
        <v>18</v>
      </c>
      <c r="D966" s="2">
        <v>110132653</v>
      </c>
      <c r="E966" s="2">
        <v>103637353</v>
      </c>
      <c r="F966" s="2">
        <v>26381423</v>
      </c>
      <c r="G966" s="2">
        <f t="shared" si="30"/>
        <v>130018776</v>
      </c>
      <c r="H966">
        <f t="shared" si="31"/>
        <v>1.1805651862395434</v>
      </c>
    </row>
    <row r="967" spans="1:8">
      <c r="A967" t="s">
        <v>84</v>
      </c>
      <c r="B967" s="1" t="s">
        <v>19</v>
      </c>
      <c r="C967" t="s">
        <v>20</v>
      </c>
      <c r="D967" s="2">
        <v>115185723</v>
      </c>
      <c r="E967" s="2">
        <v>80271599</v>
      </c>
      <c r="F967" s="2">
        <v>27119245</v>
      </c>
      <c r="G967" s="2">
        <f t="shared" si="30"/>
        <v>107390844</v>
      </c>
      <c r="H967">
        <f t="shared" si="31"/>
        <v>0.93232773301253669</v>
      </c>
    </row>
    <row r="968" spans="1:8">
      <c r="A968" t="s">
        <v>84</v>
      </c>
      <c r="B968" s="1" t="s">
        <v>21</v>
      </c>
      <c r="C968" t="s">
        <v>22</v>
      </c>
      <c r="D968" s="2">
        <v>238430029</v>
      </c>
      <c r="E968" s="2">
        <v>119611533</v>
      </c>
      <c r="F968" s="2">
        <v>30707407</v>
      </c>
      <c r="G968" s="2">
        <f t="shared" si="30"/>
        <v>150318940</v>
      </c>
      <c r="H968">
        <f t="shared" si="31"/>
        <v>0.63045305421658948</v>
      </c>
    </row>
    <row r="969" spans="1:8">
      <c r="A969" t="s">
        <v>84</v>
      </c>
      <c r="B969" s="1" t="s">
        <v>23</v>
      </c>
      <c r="C969" t="s">
        <v>24</v>
      </c>
      <c r="D969" s="2">
        <v>337670775</v>
      </c>
      <c r="E969" s="2">
        <v>70268835</v>
      </c>
      <c r="F969" s="2">
        <v>35236933</v>
      </c>
      <c r="G969" s="2">
        <f t="shared" si="30"/>
        <v>105505768</v>
      </c>
      <c r="H969">
        <f t="shared" si="31"/>
        <v>0.31245158246223709</v>
      </c>
    </row>
    <row r="970" spans="1:8">
      <c r="A970" t="s">
        <v>84</v>
      </c>
      <c r="B970" s="1" t="s">
        <v>25</v>
      </c>
      <c r="C970" t="s">
        <v>26</v>
      </c>
      <c r="D970" s="2">
        <v>241704187</v>
      </c>
      <c r="E970" s="2">
        <v>56629570</v>
      </c>
      <c r="F970" s="2">
        <v>23230227</v>
      </c>
      <c r="G970" s="2">
        <f t="shared" si="30"/>
        <v>79859797</v>
      </c>
      <c r="H970">
        <f t="shared" si="31"/>
        <v>0.33040303517787217</v>
      </c>
    </row>
    <row r="971" spans="1:8">
      <c r="A971" t="s">
        <v>84</v>
      </c>
      <c r="B971">
        <v>10000</v>
      </c>
      <c r="C971" t="s">
        <v>27</v>
      </c>
      <c r="D971" s="2">
        <v>229946075</v>
      </c>
      <c r="E971" s="2">
        <v>64389939</v>
      </c>
      <c r="F971" s="2">
        <v>22091487</v>
      </c>
      <c r="G971" s="2">
        <f t="shared" si="30"/>
        <v>86481426</v>
      </c>
      <c r="H971">
        <f t="shared" si="31"/>
        <v>0.37609437777965987</v>
      </c>
    </row>
    <row r="972" spans="1:8">
      <c r="A972" t="s">
        <v>84</v>
      </c>
      <c r="B972">
        <v>11000</v>
      </c>
      <c r="C972" t="s">
        <v>28</v>
      </c>
      <c r="D972" s="2">
        <v>666314141</v>
      </c>
      <c r="E972" s="2">
        <v>79394310</v>
      </c>
      <c r="F972" s="2">
        <v>42354075</v>
      </c>
      <c r="G972" s="2">
        <f t="shared" si="30"/>
        <v>121748385</v>
      </c>
      <c r="H972">
        <f t="shared" si="31"/>
        <v>0.1827191973102669</v>
      </c>
    </row>
    <row r="973" spans="1:8">
      <c r="A973" t="s">
        <v>84</v>
      </c>
      <c r="B973">
        <v>12000</v>
      </c>
      <c r="C973" t="s">
        <v>29</v>
      </c>
      <c r="D973" s="2">
        <v>589073269</v>
      </c>
      <c r="E973" s="2">
        <v>86926433</v>
      </c>
      <c r="F973" s="2">
        <v>41212435</v>
      </c>
      <c r="G973" s="2">
        <f t="shared" si="30"/>
        <v>128138868</v>
      </c>
      <c r="H973">
        <f t="shared" si="31"/>
        <v>0.21752619706802551</v>
      </c>
    </row>
    <row r="974" spans="1:8">
      <c r="A974" t="s">
        <v>84</v>
      </c>
      <c r="B974">
        <v>13000</v>
      </c>
      <c r="C974" t="s">
        <v>30</v>
      </c>
      <c r="D974" s="2">
        <v>4269045445</v>
      </c>
      <c r="E974" s="2">
        <v>181012361</v>
      </c>
      <c r="F974" s="2">
        <v>70396311</v>
      </c>
      <c r="G974" s="2">
        <f t="shared" si="30"/>
        <v>251408672</v>
      </c>
      <c r="H974">
        <f t="shared" si="31"/>
        <v>5.8891074184852114E-2</v>
      </c>
    </row>
    <row r="975" spans="1:8">
      <c r="A975" t="s">
        <v>84</v>
      </c>
      <c r="B975">
        <v>14000</v>
      </c>
      <c r="C975" t="s">
        <v>31</v>
      </c>
      <c r="D975" s="2">
        <v>979939643</v>
      </c>
      <c r="E975" s="2">
        <v>55790821</v>
      </c>
      <c r="F975" s="2">
        <v>39423340</v>
      </c>
      <c r="G975" s="2">
        <f t="shared" si="30"/>
        <v>95214161</v>
      </c>
      <c r="H975">
        <f t="shared" si="31"/>
        <v>9.7163291310993521E-2</v>
      </c>
    </row>
    <row r="976" spans="1:8">
      <c r="A976" t="s">
        <v>84</v>
      </c>
      <c r="B976">
        <v>15000</v>
      </c>
      <c r="C976" t="s">
        <v>32</v>
      </c>
      <c r="D976" s="2">
        <v>280711430</v>
      </c>
      <c r="E976" s="2">
        <v>187133079</v>
      </c>
      <c r="F976" s="2">
        <v>37396655</v>
      </c>
      <c r="G976" s="2">
        <f t="shared" si="30"/>
        <v>224529734</v>
      </c>
      <c r="H976">
        <f t="shared" si="31"/>
        <v>0.79985960671426881</v>
      </c>
    </row>
    <row r="977" spans="1:8">
      <c r="A977" t="s">
        <v>84</v>
      </c>
      <c r="B977">
        <v>16000</v>
      </c>
      <c r="C977" t="s">
        <v>33</v>
      </c>
      <c r="D977" s="2">
        <v>135421045</v>
      </c>
      <c r="E977" s="2">
        <v>67635820</v>
      </c>
      <c r="F977" s="2">
        <v>9804442</v>
      </c>
      <c r="G977" s="2">
        <f t="shared" si="30"/>
        <v>77440262</v>
      </c>
      <c r="H977">
        <f t="shared" si="31"/>
        <v>0.57184806098638508</v>
      </c>
    </row>
    <row r="978" spans="1:8">
      <c r="A978" t="s">
        <v>84</v>
      </c>
      <c r="B978">
        <v>17000</v>
      </c>
      <c r="C978" t="s">
        <v>34</v>
      </c>
      <c r="D978" s="2">
        <v>142143623</v>
      </c>
      <c r="E978" s="2">
        <v>63249413</v>
      </c>
      <c r="F978" s="2">
        <v>17467911</v>
      </c>
      <c r="G978" s="2">
        <f t="shared" si="30"/>
        <v>80717324</v>
      </c>
      <c r="H978">
        <f t="shared" si="31"/>
        <v>0.56785751127224326</v>
      </c>
    </row>
    <row r="979" spans="1:8">
      <c r="A979" t="s">
        <v>84</v>
      </c>
      <c r="B979">
        <v>18000</v>
      </c>
      <c r="C979" t="s">
        <v>35</v>
      </c>
      <c r="D979" s="2">
        <v>116096210</v>
      </c>
      <c r="E979" s="2">
        <v>63953757</v>
      </c>
      <c r="F979" s="2">
        <v>17297357</v>
      </c>
      <c r="G979" s="2">
        <f t="shared" si="30"/>
        <v>81251114</v>
      </c>
      <c r="H979">
        <f t="shared" si="31"/>
        <v>0.69986017631411046</v>
      </c>
    </row>
    <row r="980" spans="1:8">
      <c r="A980" t="s">
        <v>84</v>
      </c>
      <c r="B980">
        <v>19000</v>
      </c>
      <c r="C980" t="s">
        <v>36</v>
      </c>
      <c r="D980" s="2">
        <v>100471397</v>
      </c>
      <c r="E980" s="2">
        <v>69953582</v>
      </c>
      <c r="F980" s="2">
        <v>7733681</v>
      </c>
      <c r="G980" s="2">
        <f t="shared" si="30"/>
        <v>77687263</v>
      </c>
      <c r="H980">
        <f t="shared" si="31"/>
        <v>0.77322765801693794</v>
      </c>
    </row>
    <row r="981" spans="1:8">
      <c r="A981" t="s">
        <v>84</v>
      </c>
      <c r="B981">
        <v>20000</v>
      </c>
      <c r="C981" t="s">
        <v>37</v>
      </c>
      <c r="D981" s="2">
        <v>253939553</v>
      </c>
      <c r="E981" s="2">
        <v>109465268</v>
      </c>
      <c r="F981" s="2">
        <v>22832195</v>
      </c>
      <c r="G981" s="2">
        <f t="shared" si="30"/>
        <v>132297463</v>
      </c>
      <c r="H981">
        <f t="shared" si="31"/>
        <v>0.52098013656029396</v>
      </c>
    </row>
    <row r="982" spans="1:8">
      <c r="A982" t="s">
        <v>84</v>
      </c>
      <c r="B982">
        <v>21000</v>
      </c>
      <c r="C982" t="s">
        <v>38</v>
      </c>
      <c r="D982" s="2">
        <v>235510024</v>
      </c>
      <c r="E982" s="2">
        <v>83271320</v>
      </c>
      <c r="F982" s="2">
        <v>25986317</v>
      </c>
      <c r="G982" s="2">
        <f t="shared" si="30"/>
        <v>109257637</v>
      </c>
      <c r="H982">
        <f t="shared" si="31"/>
        <v>0.46391926400551003</v>
      </c>
    </row>
    <row r="983" spans="1:8">
      <c r="A983" t="s">
        <v>84</v>
      </c>
      <c r="B983">
        <v>22000</v>
      </c>
      <c r="C983" t="s">
        <v>39</v>
      </c>
      <c r="D983" s="2">
        <v>511452998</v>
      </c>
      <c r="E983" s="2">
        <v>81812199</v>
      </c>
      <c r="F983" s="2">
        <v>27972820</v>
      </c>
      <c r="G983" s="2">
        <f t="shared" si="30"/>
        <v>109785019</v>
      </c>
      <c r="H983">
        <f t="shared" si="31"/>
        <v>0.21465319282379103</v>
      </c>
    </row>
    <row r="984" spans="1:8">
      <c r="A984" t="s">
        <v>84</v>
      </c>
      <c r="B984">
        <v>23000</v>
      </c>
      <c r="C984" t="s">
        <v>40</v>
      </c>
      <c r="D984" s="2">
        <v>1104335581</v>
      </c>
      <c r="E984" s="2">
        <v>96523238</v>
      </c>
      <c r="F984" s="2">
        <v>44155774</v>
      </c>
      <c r="G984" s="2">
        <f t="shared" si="30"/>
        <v>140679012</v>
      </c>
      <c r="H984">
        <f t="shared" si="31"/>
        <v>0.12738791941541183</v>
      </c>
    </row>
    <row r="985" spans="1:8">
      <c r="A985" t="s">
        <v>84</v>
      </c>
      <c r="B985">
        <v>24000</v>
      </c>
      <c r="C985" t="s">
        <v>41</v>
      </c>
      <c r="D985" s="2">
        <v>232992490</v>
      </c>
      <c r="E985" s="2">
        <v>58763271</v>
      </c>
      <c r="F985" s="2">
        <v>19119066</v>
      </c>
      <c r="G985" s="2">
        <f t="shared" si="30"/>
        <v>77882337</v>
      </c>
      <c r="H985">
        <f t="shared" si="31"/>
        <v>0.33426973118318104</v>
      </c>
    </row>
    <row r="986" spans="1:8">
      <c r="A986" t="s">
        <v>84</v>
      </c>
      <c r="B986">
        <v>25000</v>
      </c>
      <c r="C986" t="s">
        <v>42</v>
      </c>
      <c r="D986" s="2">
        <v>163341862</v>
      </c>
      <c r="E986" s="2">
        <v>43558904</v>
      </c>
      <c r="F986" s="2">
        <v>20161983</v>
      </c>
      <c r="G986" s="2">
        <f t="shared" si="30"/>
        <v>63720887</v>
      </c>
      <c r="H986">
        <f t="shared" si="31"/>
        <v>0.39010750961073287</v>
      </c>
    </row>
    <row r="987" spans="1:8">
      <c r="A987" t="s">
        <v>84</v>
      </c>
      <c r="B987">
        <v>26000</v>
      </c>
      <c r="C987" t="s">
        <v>43</v>
      </c>
      <c r="D987" s="2">
        <v>295637145</v>
      </c>
      <c r="E987" s="2">
        <v>41309707</v>
      </c>
      <c r="F987" s="2">
        <v>16863254</v>
      </c>
      <c r="G987" s="2">
        <f t="shared" si="30"/>
        <v>58172961</v>
      </c>
      <c r="H987">
        <f t="shared" si="31"/>
        <v>0.1967714882377179</v>
      </c>
    </row>
    <row r="988" spans="1:8">
      <c r="A988" t="s">
        <v>84</v>
      </c>
      <c r="B988">
        <v>27000</v>
      </c>
      <c r="C988" t="s">
        <v>44</v>
      </c>
      <c r="D988" s="2">
        <v>1152693249</v>
      </c>
      <c r="E988" s="2">
        <v>108354219</v>
      </c>
      <c r="F988" s="2">
        <v>55768941</v>
      </c>
      <c r="G988" s="2">
        <f t="shared" si="30"/>
        <v>164123160</v>
      </c>
      <c r="H988">
        <f t="shared" si="31"/>
        <v>0.14238233818267118</v>
      </c>
    </row>
    <row r="989" spans="1:8">
      <c r="A989" t="s">
        <v>84</v>
      </c>
      <c r="B989">
        <v>28000</v>
      </c>
      <c r="C989" t="s">
        <v>45</v>
      </c>
      <c r="D989" s="2">
        <v>595263877</v>
      </c>
      <c r="E989" s="2">
        <v>196429524</v>
      </c>
      <c r="F989" s="2">
        <v>50013116</v>
      </c>
      <c r="G989" s="2">
        <f t="shared" si="30"/>
        <v>246442640</v>
      </c>
      <c r="H989">
        <f t="shared" si="31"/>
        <v>0.41400570322193431</v>
      </c>
    </row>
    <row r="990" spans="1:8">
      <c r="A990" t="s">
        <v>84</v>
      </c>
      <c r="B990">
        <v>29000</v>
      </c>
      <c r="C990" t="s">
        <v>46</v>
      </c>
      <c r="D990" s="2">
        <v>121255513</v>
      </c>
      <c r="E990" s="2">
        <v>38949610</v>
      </c>
      <c r="F990" s="2">
        <v>15407979</v>
      </c>
      <c r="G990" s="2">
        <f t="shared" si="30"/>
        <v>54357589</v>
      </c>
      <c r="H990">
        <f t="shared" si="31"/>
        <v>0.44828962951977286</v>
      </c>
    </row>
    <row r="991" spans="1:8">
      <c r="A991" t="s">
        <v>84</v>
      </c>
      <c r="B991">
        <v>30000</v>
      </c>
      <c r="C991" t="s">
        <v>47</v>
      </c>
      <c r="D991" s="2">
        <v>96909610</v>
      </c>
      <c r="E991" s="2">
        <v>55550962</v>
      </c>
      <c r="F991" s="2">
        <v>12332379</v>
      </c>
      <c r="G991" s="2">
        <f t="shared" si="30"/>
        <v>67883341</v>
      </c>
      <c r="H991">
        <f t="shared" si="31"/>
        <v>0.70048100492820065</v>
      </c>
    </row>
    <row r="992" spans="1:8">
      <c r="A992" t="s">
        <v>84</v>
      </c>
      <c r="B992">
        <v>31000</v>
      </c>
      <c r="C992" t="s">
        <v>48</v>
      </c>
      <c r="D992" s="2">
        <v>57848913</v>
      </c>
      <c r="E992" s="2">
        <v>45293095</v>
      </c>
      <c r="F992" s="2">
        <v>19481445</v>
      </c>
      <c r="G992" s="2">
        <f t="shared" si="30"/>
        <v>64774540</v>
      </c>
      <c r="H992">
        <f t="shared" si="31"/>
        <v>1.1197192244563006</v>
      </c>
    </row>
    <row r="993" spans="1:8">
      <c r="A993" t="s">
        <v>84</v>
      </c>
      <c r="B993">
        <v>32000</v>
      </c>
      <c r="C993" t="s">
        <v>49</v>
      </c>
      <c r="D993" s="2">
        <v>69690601</v>
      </c>
      <c r="E993" s="2">
        <v>84506968</v>
      </c>
      <c r="F993" s="2">
        <v>21755819</v>
      </c>
      <c r="G993" s="2">
        <f t="shared" si="30"/>
        <v>106262787</v>
      </c>
      <c r="H993">
        <f t="shared" si="31"/>
        <v>1.5247793170846669</v>
      </c>
    </row>
    <row r="994" spans="1:8">
      <c r="A994" t="s">
        <v>84</v>
      </c>
      <c r="B994">
        <v>33000</v>
      </c>
      <c r="C994" t="s">
        <v>50</v>
      </c>
      <c r="D994" s="2">
        <v>205244313</v>
      </c>
      <c r="E994" s="2">
        <v>57561234</v>
      </c>
      <c r="F994" s="2">
        <v>26733654</v>
      </c>
      <c r="G994" s="2">
        <f t="shared" si="30"/>
        <v>84294888</v>
      </c>
      <c r="H994">
        <f t="shared" si="31"/>
        <v>0.41070510928115217</v>
      </c>
    </row>
    <row r="995" spans="1:8">
      <c r="A995" t="s">
        <v>84</v>
      </c>
      <c r="B995">
        <v>34000</v>
      </c>
      <c r="C995" t="s">
        <v>51</v>
      </c>
      <c r="D995" s="2">
        <v>305118011</v>
      </c>
      <c r="E995" s="2">
        <v>78252202</v>
      </c>
      <c r="F995" s="2">
        <v>51479136</v>
      </c>
      <c r="G995" s="2">
        <f t="shared" si="30"/>
        <v>129731338</v>
      </c>
      <c r="H995">
        <f t="shared" si="31"/>
        <v>0.42518413637666247</v>
      </c>
    </row>
    <row r="996" spans="1:8">
      <c r="A996" t="s">
        <v>84</v>
      </c>
      <c r="B996">
        <v>35000</v>
      </c>
      <c r="C996" t="s">
        <v>52</v>
      </c>
      <c r="D996" s="2">
        <v>162572372</v>
      </c>
      <c r="E996" s="2">
        <v>75278751</v>
      </c>
      <c r="F996" s="2">
        <v>25190608</v>
      </c>
      <c r="G996" s="2">
        <f t="shared" si="30"/>
        <v>100469359</v>
      </c>
      <c r="H996">
        <f t="shared" si="31"/>
        <v>0.61799774318357115</v>
      </c>
    </row>
    <row r="997" spans="1:8">
      <c r="A997" t="s">
        <v>84</v>
      </c>
      <c r="B997">
        <v>36000</v>
      </c>
      <c r="C997" t="s">
        <v>53</v>
      </c>
      <c r="D997" s="2">
        <v>78724256</v>
      </c>
      <c r="E997" s="2">
        <v>59789364</v>
      </c>
      <c r="F997" s="2">
        <v>13487238</v>
      </c>
      <c r="G997" s="2">
        <f t="shared" si="30"/>
        <v>73276602</v>
      </c>
      <c r="H997">
        <f t="shared" si="31"/>
        <v>0.93080081950853877</v>
      </c>
    </row>
    <row r="998" spans="1:8">
      <c r="A998" t="s">
        <v>84</v>
      </c>
      <c r="B998">
        <v>37000</v>
      </c>
      <c r="C998" t="s">
        <v>54</v>
      </c>
      <c r="D998" s="2">
        <v>111854691</v>
      </c>
      <c r="E998" s="2">
        <v>28729401</v>
      </c>
      <c r="F998" s="2">
        <v>15634750</v>
      </c>
      <c r="G998" s="2">
        <f t="shared" si="30"/>
        <v>44364151</v>
      </c>
      <c r="H998">
        <f t="shared" si="31"/>
        <v>0.39662307055141749</v>
      </c>
    </row>
    <row r="999" spans="1:8">
      <c r="A999" t="s">
        <v>84</v>
      </c>
      <c r="B999">
        <v>38000</v>
      </c>
      <c r="C999" t="s">
        <v>55</v>
      </c>
      <c r="D999" s="2">
        <v>147429771</v>
      </c>
      <c r="E999" s="2">
        <v>61361988</v>
      </c>
      <c r="F999" s="2">
        <v>18940411</v>
      </c>
      <c r="G999" s="2">
        <f t="shared" si="30"/>
        <v>80302399</v>
      </c>
      <c r="H999">
        <f t="shared" si="31"/>
        <v>0.54468238304460226</v>
      </c>
    </row>
    <row r="1000" spans="1:8">
      <c r="A1000" t="s">
        <v>84</v>
      </c>
      <c r="B1000">
        <v>39000</v>
      </c>
      <c r="C1000" t="s">
        <v>56</v>
      </c>
      <c r="D1000" s="2">
        <v>65883889</v>
      </c>
      <c r="E1000" s="2">
        <v>77598319</v>
      </c>
      <c r="F1000" s="2">
        <v>16508991</v>
      </c>
      <c r="G1000" s="2">
        <f t="shared" si="30"/>
        <v>94107310</v>
      </c>
      <c r="H1000">
        <f t="shared" si="31"/>
        <v>1.4283812238224127</v>
      </c>
    </row>
    <row r="1001" spans="1:8">
      <c r="A1001" t="s">
        <v>84</v>
      </c>
      <c r="B1001">
        <v>40000</v>
      </c>
      <c r="C1001" t="s">
        <v>57</v>
      </c>
      <c r="D1001" s="2">
        <v>481083687</v>
      </c>
      <c r="E1001" s="2">
        <v>74610510</v>
      </c>
      <c r="F1001" s="2">
        <v>48594030</v>
      </c>
      <c r="G1001" s="2">
        <f t="shared" si="30"/>
        <v>123204540</v>
      </c>
      <c r="H1001">
        <f t="shared" si="31"/>
        <v>0.25609793748836884</v>
      </c>
    </row>
    <row r="1002" spans="1:8">
      <c r="A1002" t="s">
        <v>84</v>
      </c>
      <c r="B1002">
        <v>41000</v>
      </c>
      <c r="C1002" t="s">
        <v>58</v>
      </c>
      <c r="D1002" s="2">
        <v>85572601</v>
      </c>
      <c r="E1002" s="2">
        <v>59145817</v>
      </c>
      <c r="F1002" s="2">
        <v>16196571</v>
      </c>
      <c r="G1002" s="2">
        <f t="shared" si="30"/>
        <v>75342388</v>
      </c>
      <c r="H1002">
        <f t="shared" si="31"/>
        <v>0.88044990007958268</v>
      </c>
    </row>
    <row r="1003" spans="1:8">
      <c r="A1003" t="s">
        <v>84</v>
      </c>
      <c r="B1003">
        <v>42000</v>
      </c>
      <c r="C1003" t="s">
        <v>59</v>
      </c>
      <c r="D1003" s="2">
        <v>118655822</v>
      </c>
      <c r="E1003" s="2">
        <v>108733376</v>
      </c>
      <c r="F1003" s="2">
        <v>25621792</v>
      </c>
      <c r="G1003" s="2">
        <f t="shared" si="30"/>
        <v>134355168</v>
      </c>
      <c r="H1003">
        <f t="shared" si="31"/>
        <v>1.1323099510447958</v>
      </c>
    </row>
    <row r="1004" spans="1:8">
      <c r="A1004" t="s">
        <v>84</v>
      </c>
      <c r="B1004">
        <v>43000</v>
      </c>
      <c r="C1004" t="s">
        <v>60</v>
      </c>
      <c r="D1004" s="2">
        <v>157466295</v>
      </c>
      <c r="E1004" s="2">
        <v>90635052</v>
      </c>
      <c r="F1004" s="2">
        <v>26380829</v>
      </c>
      <c r="G1004" s="2">
        <f t="shared" si="30"/>
        <v>117015881</v>
      </c>
      <c r="H1004">
        <f t="shared" si="31"/>
        <v>0.74311700164152594</v>
      </c>
    </row>
    <row r="1005" spans="1:8">
      <c r="A1005" t="s">
        <v>84</v>
      </c>
      <c r="B1005">
        <v>44000</v>
      </c>
      <c r="C1005" t="s">
        <v>61</v>
      </c>
      <c r="D1005" s="2">
        <v>108797765</v>
      </c>
      <c r="E1005" s="2">
        <v>77454803</v>
      </c>
      <c r="F1005" s="2">
        <v>19729735</v>
      </c>
      <c r="G1005" s="2">
        <f t="shared" si="30"/>
        <v>97184538</v>
      </c>
      <c r="H1005">
        <f t="shared" si="31"/>
        <v>0.89325858853810092</v>
      </c>
    </row>
    <row r="1006" spans="1:8">
      <c r="A1006" t="s">
        <v>84</v>
      </c>
      <c r="B1006">
        <v>45000</v>
      </c>
      <c r="C1006" t="s">
        <v>62</v>
      </c>
      <c r="D1006" s="2">
        <v>94484533</v>
      </c>
      <c r="E1006" s="2">
        <v>77351387</v>
      </c>
      <c r="F1006" s="2">
        <v>32431488</v>
      </c>
      <c r="G1006" s="2">
        <f t="shared" si="30"/>
        <v>109782875</v>
      </c>
      <c r="H1006">
        <f t="shared" si="31"/>
        <v>1.1619137176663614</v>
      </c>
    </row>
    <row r="1007" spans="1:8">
      <c r="A1007" t="s">
        <v>84</v>
      </c>
      <c r="B1007">
        <v>46000</v>
      </c>
      <c r="C1007" t="s">
        <v>63</v>
      </c>
      <c r="D1007" s="2">
        <v>142222312</v>
      </c>
      <c r="E1007" s="2">
        <v>147095311</v>
      </c>
      <c r="F1007" s="2">
        <v>49902864</v>
      </c>
      <c r="G1007" s="2">
        <f t="shared" si="30"/>
        <v>196998175</v>
      </c>
      <c r="H1007">
        <f t="shared" si="31"/>
        <v>1.3851425435975193</v>
      </c>
    </row>
    <row r="1008" spans="1:8">
      <c r="A1008" t="s">
        <v>84</v>
      </c>
      <c r="B1008">
        <v>47000</v>
      </c>
      <c r="C1008" t="s">
        <v>64</v>
      </c>
      <c r="D1008" s="2">
        <v>84818390</v>
      </c>
      <c r="E1008" s="2">
        <v>143476707</v>
      </c>
      <c r="F1008" s="2">
        <v>25324081</v>
      </c>
      <c r="G1008" s="2">
        <f t="shared" si="30"/>
        <v>168800788</v>
      </c>
      <c r="H1008">
        <f t="shared" si="31"/>
        <v>1.9901437412334755</v>
      </c>
    </row>
    <row r="1009" spans="1:8">
      <c r="A1009" t="s">
        <v>85</v>
      </c>
      <c r="B1009" s="1" t="s">
        <v>7</v>
      </c>
      <c r="C1009" t="s">
        <v>8</v>
      </c>
      <c r="D1009" s="2">
        <v>16608264791</v>
      </c>
      <c r="E1009" s="2">
        <v>4554284376</v>
      </c>
      <c r="F1009" s="2">
        <v>1346768050</v>
      </c>
      <c r="G1009" s="2">
        <f t="shared" si="30"/>
        <v>5901052426</v>
      </c>
      <c r="H1009">
        <f t="shared" si="31"/>
        <v>0.35530818542812331</v>
      </c>
    </row>
    <row r="1010" spans="1:8">
      <c r="A1010" t="s">
        <v>85</v>
      </c>
      <c r="B1010" s="1" t="s">
        <v>9</v>
      </c>
      <c r="C1010" t="s">
        <v>10</v>
      </c>
      <c r="D1010" s="2">
        <v>571715195</v>
      </c>
      <c r="E1010" s="2">
        <v>360790790</v>
      </c>
      <c r="F1010" s="2">
        <v>97030194</v>
      </c>
      <c r="G1010" s="2">
        <f t="shared" si="30"/>
        <v>457820984</v>
      </c>
      <c r="H1010">
        <f t="shared" si="31"/>
        <v>0.80078505522316934</v>
      </c>
    </row>
    <row r="1011" spans="1:8">
      <c r="A1011" t="s">
        <v>85</v>
      </c>
      <c r="B1011" s="1" t="s">
        <v>11</v>
      </c>
      <c r="C1011" t="s">
        <v>12</v>
      </c>
      <c r="D1011" s="2">
        <v>120358709</v>
      </c>
      <c r="E1011" s="2">
        <v>98349357</v>
      </c>
      <c r="F1011" s="2">
        <v>27930638</v>
      </c>
      <c r="G1011" s="2">
        <f t="shared" si="30"/>
        <v>126279995</v>
      </c>
      <c r="H1011">
        <f t="shared" si="31"/>
        <v>1.0491969883126613</v>
      </c>
    </row>
    <row r="1012" spans="1:8">
      <c r="A1012" t="s">
        <v>85</v>
      </c>
      <c r="B1012" s="1" t="s">
        <v>13</v>
      </c>
      <c r="C1012" t="s">
        <v>14</v>
      </c>
      <c r="D1012" s="2">
        <v>124161151</v>
      </c>
      <c r="E1012" s="2">
        <v>118483951</v>
      </c>
      <c r="F1012" s="2">
        <v>28483956</v>
      </c>
      <c r="G1012" s="2">
        <f t="shared" si="30"/>
        <v>146967907</v>
      </c>
      <c r="H1012">
        <f t="shared" si="31"/>
        <v>1.1836867314479067</v>
      </c>
    </row>
    <row r="1013" spans="1:8">
      <c r="A1013" t="s">
        <v>85</v>
      </c>
      <c r="B1013" s="1" t="s">
        <v>15</v>
      </c>
      <c r="C1013" t="s">
        <v>16</v>
      </c>
      <c r="D1013" s="2">
        <v>259928273</v>
      </c>
      <c r="E1013" s="2">
        <v>92114700</v>
      </c>
      <c r="F1013" s="2">
        <v>25568919</v>
      </c>
      <c r="G1013" s="2">
        <f t="shared" si="30"/>
        <v>117683619</v>
      </c>
      <c r="H1013">
        <f t="shared" si="31"/>
        <v>0.4527542065422025</v>
      </c>
    </row>
    <row r="1014" spans="1:8">
      <c r="A1014" t="s">
        <v>85</v>
      </c>
      <c r="B1014" s="1" t="s">
        <v>17</v>
      </c>
      <c r="C1014" t="s">
        <v>18</v>
      </c>
      <c r="D1014" s="2">
        <v>106103217</v>
      </c>
      <c r="E1014" s="2">
        <v>112481859</v>
      </c>
      <c r="F1014" s="2">
        <v>24293070</v>
      </c>
      <c r="G1014" s="2">
        <f t="shared" si="30"/>
        <v>136774929</v>
      </c>
      <c r="H1014">
        <f t="shared" si="31"/>
        <v>1.2890742888596864</v>
      </c>
    </row>
    <row r="1015" spans="1:8">
      <c r="A1015" t="s">
        <v>85</v>
      </c>
      <c r="B1015" s="1" t="s">
        <v>19</v>
      </c>
      <c r="C1015" t="s">
        <v>20</v>
      </c>
      <c r="D1015" s="2">
        <v>111529818</v>
      </c>
      <c r="E1015" s="2">
        <v>85977733</v>
      </c>
      <c r="F1015" s="2">
        <v>23736033</v>
      </c>
      <c r="G1015" s="2">
        <f t="shared" si="30"/>
        <v>109713766</v>
      </c>
      <c r="H1015">
        <f t="shared" si="31"/>
        <v>0.98371689264300599</v>
      </c>
    </row>
    <row r="1016" spans="1:8">
      <c r="A1016" t="s">
        <v>85</v>
      </c>
      <c r="B1016" s="1" t="s">
        <v>21</v>
      </c>
      <c r="C1016" t="s">
        <v>22</v>
      </c>
      <c r="D1016" s="2">
        <v>230552575</v>
      </c>
      <c r="E1016" s="2">
        <v>112003267</v>
      </c>
      <c r="F1016" s="2">
        <v>30303720</v>
      </c>
      <c r="G1016" s="2">
        <f t="shared" si="30"/>
        <v>142306987</v>
      </c>
      <c r="H1016">
        <f t="shared" si="31"/>
        <v>0.61724310387771641</v>
      </c>
    </row>
    <row r="1017" spans="1:8">
      <c r="A1017" t="s">
        <v>85</v>
      </c>
      <c r="B1017" s="1" t="s">
        <v>23</v>
      </c>
      <c r="C1017" t="s">
        <v>24</v>
      </c>
      <c r="D1017" s="2">
        <v>327911442</v>
      </c>
      <c r="E1017" s="2">
        <v>78314160</v>
      </c>
      <c r="F1017" s="2">
        <v>32291965</v>
      </c>
      <c r="G1017" s="2">
        <f t="shared" si="30"/>
        <v>110606125</v>
      </c>
      <c r="H1017">
        <f t="shared" si="31"/>
        <v>0.33730486598878728</v>
      </c>
    </row>
    <row r="1018" spans="1:8">
      <c r="A1018" t="s">
        <v>85</v>
      </c>
      <c r="B1018" s="1" t="s">
        <v>25</v>
      </c>
      <c r="C1018" t="s">
        <v>26</v>
      </c>
      <c r="D1018" s="2">
        <v>229907407</v>
      </c>
      <c r="E1018" s="2">
        <v>62478601</v>
      </c>
      <c r="F1018" s="2">
        <v>19514718</v>
      </c>
      <c r="G1018" s="2">
        <f t="shared" si="30"/>
        <v>81993319</v>
      </c>
      <c r="H1018">
        <f t="shared" si="31"/>
        <v>0.35663626531180009</v>
      </c>
    </row>
    <row r="1019" spans="1:8">
      <c r="A1019" t="s">
        <v>85</v>
      </c>
      <c r="B1019">
        <v>10000</v>
      </c>
      <c r="C1019" t="s">
        <v>27</v>
      </c>
      <c r="D1019" s="2">
        <v>229928973</v>
      </c>
      <c r="E1019" s="2">
        <v>72705040</v>
      </c>
      <c r="F1019" s="2">
        <v>23371727</v>
      </c>
      <c r="G1019" s="2">
        <f t="shared" si="30"/>
        <v>96076767</v>
      </c>
      <c r="H1019">
        <f t="shared" si="31"/>
        <v>0.4178541127133204</v>
      </c>
    </row>
    <row r="1020" spans="1:8">
      <c r="A1020" t="s">
        <v>85</v>
      </c>
      <c r="B1020">
        <v>11000</v>
      </c>
      <c r="C1020" t="s">
        <v>28</v>
      </c>
      <c r="D1020" s="2">
        <v>639129410</v>
      </c>
      <c r="E1020" s="2">
        <v>83606647</v>
      </c>
      <c r="F1020" s="2">
        <v>40316437</v>
      </c>
      <c r="G1020" s="2">
        <f t="shared" si="30"/>
        <v>123923084</v>
      </c>
      <c r="H1020">
        <f t="shared" si="31"/>
        <v>0.19389357156948855</v>
      </c>
    </row>
    <row r="1021" spans="1:8">
      <c r="A1021" t="s">
        <v>85</v>
      </c>
      <c r="B1021">
        <v>12000</v>
      </c>
      <c r="C1021" t="s">
        <v>29</v>
      </c>
      <c r="D1021" s="2">
        <v>573724867</v>
      </c>
      <c r="E1021" s="2">
        <v>97121271</v>
      </c>
      <c r="F1021" s="2">
        <v>38437050</v>
      </c>
      <c r="G1021" s="2">
        <f t="shared" si="30"/>
        <v>135558321</v>
      </c>
      <c r="H1021">
        <f t="shared" si="31"/>
        <v>0.23627757623411502</v>
      </c>
    </row>
    <row r="1022" spans="1:8">
      <c r="A1022" t="s">
        <v>85</v>
      </c>
      <c r="B1022">
        <v>13000</v>
      </c>
      <c r="C1022" t="s">
        <v>30</v>
      </c>
      <c r="D1022" s="2">
        <v>4381718081</v>
      </c>
      <c r="E1022" s="2">
        <v>197235227</v>
      </c>
      <c r="F1022" s="2">
        <v>64577536</v>
      </c>
      <c r="G1022" s="2">
        <f t="shared" si="30"/>
        <v>261812763</v>
      </c>
      <c r="H1022">
        <f t="shared" si="31"/>
        <v>5.9751165675234141E-2</v>
      </c>
    </row>
    <row r="1023" spans="1:8">
      <c r="A1023" t="s">
        <v>85</v>
      </c>
      <c r="B1023">
        <v>14000</v>
      </c>
      <c r="C1023" t="s">
        <v>31</v>
      </c>
      <c r="D1023" s="2">
        <v>946497747</v>
      </c>
      <c r="E1023" s="2">
        <v>56479953</v>
      </c>
      <c r="F1023" s="2">
        <v>35846996</v>
      </c>
      <c r="G1023" s="2">
        <f t="shared" si="30"/>
        <v>92326949</v>
      </c>
      <c r="H1023">
        <f t="shared" si="31"/>
        <v>9.7545872975015116E-2</v>
      </c>
    </row>
    <row r="1024" spans="1:8">
      <c r="A1024" t="s">
        <v>85</v>
      </c>
      <c r="B1024">
        <v>15000</v>
      </c>
      <c r="C1024" t="s">
        <v>32</v>
      </c>
      <c r="D1024" s="2">
        <v>269611306</v>
      </c>
      <c r="E1024" s="2">
        <v>203674589</v>
      </c>
      <c r="F1024" s="2">
        <v>35941821</v>
      </c>
      <c r="G1024" s="2">
        <f t="shared" si="30"/>
        <v>239616410</v>
      </c>
      <c r="H1024">
        <f t="shared" si="31"/>
        <v>0.8887476328607673</v>
      </c>
    </row>
    <row r="1025" spans="1:8">
      <c r="A1025" t="s">
        <v>85</v>
      </c>
      <c r="B1025">
        <v>16000</v>
      </c>
      <c r="C1025" t="s">
        <v>33</v>
      </c>
      <c r="D1025" s="2">
        <v>130252393</v>
      </c>
      <c r="E1025" s="2">
        <v>70483356</v>
      </c>
      <c r="F1025" s="2">
        <v>13508535</v>
      </c>
      <c r="G1025" s="2">
        <f t="shared" si="30"/>
        <v>83991891</v>
      </c>
      <c r="H1025">
        <f t="shared" si="31"/>
        <v>0.6448395232170514</v>
      </c>
    </row>
    <row r="1026" spans="1:8">
      <c r="A1026" t="s">
        <v>85</v>
      </c>
      <c r="B1026">
        <v>17000</v>
      </c>
      <c r="C1026" t="s">
        <v>34</v>
      </c>
      <c r="D1026" s="2">
        <v>138288178</v>
      </c>
      <c r="E1026" s="2">
        <v>64668828</v>
      </c>
      <c r="F1026" s="2">
        <v>15413050</v>
      </c>
      <c r="G1026" s="2">
        <f t="shared" si="30"/>
        <v>80081878</v>
      </c>
      <c r="H1026">
        <f t="shared" si="31"/>
        <v>0.57909417246064232</v>
      </c>
    </row>
    <row r="1027" spans="1:8">
      <c r="A1027" t="s">
        <v>85</v>
      </c>
      <c r="B1027">
        <v>18000</v>
      </c>
      <c r="C1027" t="s">
        <v>35</v>
      </c>
      <c r="D1027" s="2">
        <v>110774174</v>
      </c>
      <c r="E1027" s="2">
        <v>67459979</v>
      </c>
      <c r="F1027" s="2">
        <v>14746948</v>
      </c>
      <c r="G1027" s="2">
        <f t="shared" ref="G1027:G1090" si="32">E1027+F1027</f>
        <v>82206927</v>
      </c>
      <c r="H1027">
        <f t="shared" ref="H1027:H1090" si="33">G1027/D1027</f>
        <v>0.74211275093777729</v>
      </c>
    </row>
    <row r="1028" spans="1:8">
      <c r="A1028" t="s">
        <v>85</v>
      </c>
      <c r="B1028">
        <v>19000</v>
      </c>
      <c r="C1028" t="s">
        <v>36</v>
      </c>
      <c r="D1028" s="2">
        <v>96380513</v>
      </c>
      <c r="E1028" s="2">
        <v>68847660</v>
      </c>
      <c r="F1028" s="2">
        <v>7715159</v>
      </c>
      <c r="G1028" s="2">
        <f t="shared" si="32"/>
        <v>76562819</v>
      </c>
      <c r="H1028">
        <f t="shared" si="33"/>
        <v>0.79438069602306438</v>
      </c>
    </row>
    <row r="1029" spans="1:8">
      <c r="A1029" t="s">
        <v>85</v>
      </c>
      <c r="B1029">
        <v>20000</v>
      </c>
      <c r="C1029" t="s">
        <v>37</v>
      </c>
      <c r="D1029" s="2">
        <v>248152993</v>
      </c>
      <c r="E1029" s="2">
        <v>135010917</v>
      </c>
      <c r="F1029" s="2">
        <v>32463065</v>
      </c>
      <c r="G1029" s="2">
        <f t="shared" si="32"/>
        <v>167473982</v>
      </c>
      <c r="H1029">
        <f t="shared" si="33"/>
        <v>0.67488197492745938</v>
      </c>
    </row>
    <row r="1030" spans="1:8">
      <c r="A1030" t="s">
        <v>85</v>
      </c>
      <c r="B1030">
        <v>21000</v>
      </c>
      <c r="C1030" t="s">
        <v>38</v>
      </c>
      <c r="D1030" s="2">
        <v>231313861</v>
      </c>
      <c r="E1030" s="2">
        <v>85511330</v>
      </c>
      <c r="F1030" s="2">
        <v>24191270</v>
      </c>
      <c r="G1030" s="2">
        <f t="shared" si="32"/>
        <v>109702600</v>
      </c>
      <c r="H1030">
        <f t="shared" si="33"/>
        <v>0.47425865240302223</v>
      </c>
    </row>
    <row r="1031" spans="1:8">
      <c r="A1031" t="s">
        <v>85</v>
      </c>
      <c r="B1031">
        <v>22000</v>
      </c>
      <c r="C1031" t="s">
        <v>39</v>
      </c>
      <c r="D1031" s="2">
        <v>474191587</v>
      </c>
      <c r="E1031" s="2">
        <v>88120233</v>
      </c>
      <c r="F1031" s="2">
        <v>26498579</v>
      </c>
      <c r="G1031" s="2">
        <f t="shared" si="32"/>
        <v>114618812</v>
      </c>
      <c r="H1031">
        <f t="shared" si="33"/>
        <v>0.241714140744551</v>
      </c>
    </row>
    <row r="1032" spans="1:8">
      <c r="A1032" t="s">
        <v>85</v>
      </c>
      <c r="B1032">
        <v>23000</v>
      </c>
      <c r="C1032" t="s">
        <v>40</v>
      </c>
      <c r="D1032" s="2">
        <v>1012211048</v>
      </c>
      <c r="E1032" s="2">
        <v>105679157</v>
      </c>
      <c r="F1032" s="2">
        <v>42184924</v>
      </c>
      <c r="G1032" s="2">
        <f t="shared" si="32"/>
        <v>147864081</v>
      </c>
      <c r="H1032">
        <f t="shared" si="33"/>
        <v>0.14608028759630767</v>
      </c>
    </row>
    <row r="1033" spans="1:8">
      <c r="A1033" t="s">
        <v>85</v>
      </c>
      <c r="B1033">
        <v>24000</v>
      </c>
      <c r="C1033" t="s">
        <v>41</v>
      </c>
      <c r="D1033" s="2">
        <v>210014869</v>
      </c>
      <c r="E1033" s="2">
        <v>63573842</v>
      </c>
      <c r="F1033" s="2">
        <v>17073284</v>
      </c>
      <c r="G1033" s="2">
        <f t="shared" si="32"/>
        <v>80647126</v>
      </c>
      <c r="H1033">
        <f t="shared" si="33"/>
        <v>0.38400674382726679</v>
      </c>
    </row>
    <row r="1034" spans="1:8">
      <c r="A1034" t="s">
        <v>85</v>
      </c>
      <c r="B1034">
        <v>25000</v>
      </c>
      <c r="C1034" t="s">
        <v>42</v>
      </c>
      <c r="D1034" s="2">
        <v>159630021</v>
      </c>
      <c r="E1034" s="2">
        <v>48051332</v>
      </c>
      <c r="F1034" s="2">
        <v>22448525</v>
      </c>
      <c r="G1034" s="2">
        <f t="shared" si="32"/>
        <v>70499857</v>
      </c>
      <c r="H1034">
        <f t="shared" si="33"/>
        <v>0.44164535316323739</v>
      </c>
    </row>
    <row r="1035" spans="1:8">
      <c r="A1035" t="s">
        <v>85</v>
      </c>
      <c r="B1035">
        <v>26000</v>
      </c>
      <c r="C1035" t="s">
        <v>43</v>
      </c>
      <c r="D1035" s="2">
        <v>291124082</v>
      </c>
      <c r="E1035" s="2">
        <v>47058494</v>
      </c>
      <c r="F1035" s="2">
        <v>17056502</v>
      </c>
      <c r="G1035" s="2">
        <f t="shared" si="32"/>
        <v>64114996</v>
      </c>
      <c r="H1035">
        <f t="shared" si="33"/>
        <v>0.22023253988311417</v>
      </c>
    </row>
    <row r="1036" spans="1:8">
      <c r="A1036" t="s">
        <v>85</v>
      </c>
      <c r="B1036">
        <v>27000</v>
      </c>
      <c r="C1036" t="s">
        <v>44</v>
      </c>
      <c r="D1036" s="2">
        <v>1154866576</v>
      </c>
      <c r="E1036" s="2">
        <v>118628187</v>
      </c>
      <c r="F1036" s="2">
        <v>51408776</v>
      </c>
      <c r="G1036" s="2">
        <f t="shared" si="32"/>
        <v>170036963</v>
      </c>
      <c r="H1036">
        <f t="shared" si="33"/>
        <v>0.14723515818506119</v>
      </c>
    </row>
    <row r="1037" spans="1:8">
      <c r="A1037" t="s">
        <v>85</v>
      </c>
      <c r="B1037">
        <v>28000</v>
      </c>
      <c r="C1037" t="s">
        <v>45</v>
      </c>
      <c r="D1037" s="2">
        <v>597948413</v>
      </c>
      <c r="E1037" s="2">
        <v>197772823</v>
      </c>
      <c r="F1037" s="2">
        <v>45900737</v>
      </c>
      <c r="G1037" s="2">
        <f t="shared" si="32"/>
        <v>243673560</v>
      </c>
      <c r="H1037">
        <f t="shared" si="33"/>
        <v>0.40751602429622974</v>
      </c>
    </row>
    <row r="1038" spans="1:8">
      <c r="A1038" t="s">
        <v>85</v>
      </c>
      <c r="B1038">
        <v>29000</v>
      </c>
      <c r="C1038" t="s">
        <v>46</v>
      </c>
      <c r="D1038" s="2">
        <v>123779501</v>
      </c>
      <c r="E1038" s="2">
        <v>38342124</v>
      </c>
      <c r="F1038" s="2">
        <v>14955041</v>
      </c>
      <c r="G1038" s="2">
        <f t="shared" si="32"/>
        <v>53297165</v>
      </c>
      <c r="H1038">
        <f t="shared" si="33"/>
        <v>0.43058151446256032</v>
      </c>
    </row>
    <row r="1039" spans="1:8">
      <c r="A1039" t="s">
        <v>85</v>
      </c>
      <c r="B1039">
        <v>30000</v>
      </c>
      <c r="C1039" t="s">
        <v>47</v>
      </c>
      <c r="D1039" s="2">
        <v>93199725</v>
      </c>
      <c r="E1039" s="2">
        <v>60519801</v>
      </c>
      <c r="F1039" s="2">
        <v>13903792</v>
      </c>
      <c r="G1039" s="2">
        <f t="shared" si="32"/>
        <v>74423593</v>
      </c>
      <c r="H1039">
        <f t="shared" si="33"/>
        <v>0.79853876178282712</v>
      </c>
    </row>
    <row r="1040" spans="1:8">
      <c r="A1040" t="s">
        <v>85</v>
      </c>
      <c r="B1040">
        <v>31000</v>
      </c>
      <c r="C1040" t="s">
        <v>48</v>
      </c>
      <c r="D1040" s="2">
        <v>56020643</v>
      </c>
      <c r="E1040" s="2">
        <v>48900235</v>
      </c>
      <c r="F1040" s="2">
        <v>17740328</v>
      </c>
      <c r="G1040" s="2">
        <f t="shared" si="32"/>
        <v>66640563</v>
      </c>
      <c r="H1040">
        <f t="shared" si="33"/>
        <v>1.1895715477596356</v>
      </c>
    </row>
    <row r="1041" spans="1:8">
      <c r="A1041" t="s">
        <v>85</v>
      </c>
      <c r="B1041">
        <v>32000</v>
      </c>
      <c r="C1041" t="s">
        <v>49</v>
      </c>
      <c r="D1041" s="2">
        <v>69357197</v>
      </c>
      <c r="E1041" s="2">
        <v>85002604</v>
      </c>
      <c r="F1041" s="2">
        <v>20183474</v>
      </c>
      <c r="G1041" s="2">
        <f t="shared" si="32"/>
        <v>105186078</v>
      </c>
      <c r="H1041">
        <f t="shared" si="33"/>
        <v>1.5165849046638953</v>
      </c>
    </row>
    <row r="1042" spans="1:8">
      <c r="A1042" t="s">
        <v>85</v>
      </c>
      <c r="B1042">
        <v>33000</v>
      </c>
      <c r="C1042" t="s">
        <v>50</v>
      </c>
      <c r="D1042" s="2">
        <v>198511124</v>
      </c>
      <c r="E1042" s="2">
        <v>66184795</v>
      </c>
      <c r="F1042" s="2">
        <v>25665607</v>
      </c>
      <c r="G1042" s="2">
        <f t="shared" si="32"/>
        <v>91850402</v>
      </c>
      <c r="H1042">
        <f t="shared" si="33"/>
        <v>0.46269649855994971</v>
      </c>
    </row>
    <row r="1043" spans="1:8">
      <c r="A1043" t="s">
        <v>85</v>
      </c>
      <c r="B1043">
        <v>34000</v>
      </c>
      <c r="C1043" t="s">
        <v>51</v>
      </c>
      <c r="D1043" s="2">
        <v>303044833</v>
      </c>
      <c r="E1043" s="2">
        <v>81163194</v>
      </c>
      <c r="F1043" s="2">
        <v>51256113</v>
      </c>
      <c r="G1043" s="2">
        <f t="shared" si="32"/>
        <v>132419307</v>
      </c>
      <c r="H1043">
        <f t="shared" si="33"/>
        <v>0.43696276121625871</v>
      </c>
    </row>
    <row r="1044" spans="1:8">
      <c r="A1044" t="s">
        <v>85</v>
      </c>
      <c r="B1044">
        <v>35000</v>
      </c>
      <c r="C1044" t="s">
        <v>52</v>
      </c>
      <c r="D1044" s="2">
        <v>164891426</v>
      </c>
      <c r="E1044" s="2">
        <v>75980638</v>
      </c>
      <c r="F1044" s="2">
        <v>24144944</v>
      </c>
      <c r="G1044" s="2">
        <f t="shared" si="32"/>
        <v>100125582</v>
      </c>
      <c r="H1044">
        <f t="shared" si="33"/>
        <v>0.60722127541064508</v>
      </c>
    </row>
    <row r="1045" spans="1:8">
      <c r="A1045" t="s">
        <v>85</v>
      </c>
      <c r="B1045">
        <v>36000</v>
      </c>
      <c r="C1045" t="s">
        <v>53</v>
      </c>
      <c r="D1045" s="2">
        <v>77444482</v>
      </c>
      <c r="E1045" s="2">
        <v>66506780</v>
      </c>
      <c r="F1045" s="2">
        <v>12411345</v>
      </c>
      <c r="G1045" s="2">
        <f t="shared" si="32"/>
        <v>78918125</v>
      </c>
      <c r="H1045">
        <f t="shared" si="33"/>
        <v>1.0190283795816466</v>
      </c>
    </row>
    <row r="1046" spans="1:8">
      <c r="A1046" t="s">
        <v>85</v>
      </c>
      <c r="B1046">
        <v>37000</v>
      </c>
      <c r="C1046" t="s">
        <v>54</v>
      </c>
      <c r="D1046" s="2">
        <v>114547487</v>
      </c>
      <c r="E1046" s="2">
        <v>35259273</v>
      </c>
      <c r="F1046" s="2">
        <v>15659853</v>
      </c>
      <c r="G1046" s="2">
        <f t="shared" si="32"/>
        <v>50919126</v>
      </c>
      <c r="H1046">
        <f t="shared" si="33"/>
        <v>0.44452416489940105</v>
      </c>
    </row>
    <row r="1047" spans="1:8">
      <c r="A1047" t="s">
        <v>85</v>
      </c>
      <c r="B1047">
        <v>38000</v>
      </c>
      <c r="C1047" t="s">
        <v>55</v>
      </c>
      <c r="D1047" s="2">
        <v>134023968</v>
      </c>
      <c r="E1047" s="2">
        <v>71517231</v>
      </c>
      <c r="F1047" s="2">
        <v>17815026</v>
      </c>
      <c r="G1047" s="2">
        <f t="shared" si="32"/>
        <v>89332257</v>
      </c>
      <c r="H1047">
        <f t="shared" si="33"/>
        <v>0.66653941330852107</v>
      </c>
    </row>
    <row r="1048" spans="1:8">
      <c r="A1048" t="s">
        <v>85</v>
      </c>
      <c r="B1048">
        <v>39000</v>
      </c>
      <c r="C1048" t="s">
        <v>56</v>
      </c>
      <c r="D1048" s="2">
        <v>65236748</v>
      </c>
      <c r="E1048" s="2">
        <v>84752284</v>
      </c>
      <c r="F1048" s="2">
        <v>16629964</v>
      </c>
      <c r="G1048" s="2">
        <f t="shared" si="32"/>
        <v>101382248</v>
      </c>
      <c r="H1048">
        <f t="shared" si="33"/>
        <v>1.5540665515699832</v>
      </c>
    </row>
    <row r="1049" spans="1:8">
      <c r="A1049" t="s">
        <v>85</v>
      </c>
      <c r="B1049">
        <v>40000</v>
      </c>
      <c r="C1049" t="s">
        <v>57</v>
      </c>
      <c r="D1049" s="2">
        <v>462740122</v>
      </c>
      <c r="E1049" s="2">
        <v>82516814</v>
      </c>
      <c r="F1049" s="2">
        <v>47956031</v>
      </c>
      <c r="G1049" s="2">
        <f t="shared" si="32"/>
        <v>130472845</v>
      </c>
      <c r="H1049">
        <f t="shared" si="33"/>
        <v>0.28195706141945476</v>
      </c>
    </row>
    <row r="1050" spans="1:8">
      <c r="A1050" t="s">
        <v>85</v>
      </c>
      <c r="B1050">
        <v>41000</v>
      </c>
      <c r="C1050" t="s">
        <v>58</v>
      </c>
      <c r="D1050" s="2">
        <v>83052596</v>
      </c>
      <c r="E1050" s="2">
        <v>62026267</v>
      </c>
      <c r="F1050" s="2">
        <v>15298175</v>
      </c>
      <c r="G1050" s="2">
        <f t="shared" si="32"/>
        <v>77324442</v>
      </c>
      <c r="H1050">
        <f t="shared" si="33"/>
        <v>0.93102980188602413</v>
      </c>
    </row>
    <row r="1051" spans="1:8">
      <c r="A1051" t="s">
        <v>85</v>
      </c>
      <c r="B1051">
        <v>42000</v>
      </c>
      <c r="C1051" t="s">
        <v>59</v>
      </c>
      <c r="D1051" s="2">
        <v>112958946</v>
      </c>
      <c r="E1051" s="2">
        <v>115950016</v>
      </c>
      <c r="F1051" s="2">
        <v>26395378</v>
      </c>
      <c r="G1051" s="2">
        <f t="shared" si="32"/>
        <v>142345394</v>
      </c>
      <c r="H1051">
        <f t="shared" si="33"/>
        <v>1.2601515775474745</v>
      </c>
    </row>
    <row r="1052" spans="1:8">
      <c r="A1052" t="s">
        <v>85</v>
      </c>
      <c r="B1052">
        <v>43000</v>
      </c>
      <c r="C1052" t="s">
        <v>60</v>
      </c>
      <c r="D1052" s="2">
        <v>152686175</v>
      </c>
      <c r="E1052" s="2">
        <v>99524670</v>
      </c>
      <c r="F1052" s="2">
        <v>30348040</v>
      </c>
      <c r="G1052" s="2">
        <f t="shared" si="32"/>
        <v>129872710</v>
      </c>
      <c r="H1052">
        <f t="shared" si="33"/>
        <v>0.85058591584994514</v>
      </c>
    </row>
    <row r="1053" spans="1:8">
      <c r="A1053" t="s">
        <v>85</v>
      </c>
      <c r="B1053">
        <v>44000</v>
      </c>
      <c r="C1053" t="s">
        <v>61</v>
      </c>
      <c r="D1053" s="2">
        <v>105018714</v>
      </c>
      <c r="E1053" s="2">
        <v>90633530</v>
      </c>
      <c r="F1053" s="2">
        <v>18671096</v>
      </c>
      <c r="G1053" s="2">
        <f t="shared" si="32"/>
        <v>109304626</v>
      </c>
      <c r="H1053">
        <f t="shared" si="33"/>
        <v>1.0408109358490145</v>
      </c>
    </row>
    <row r="1054" spans="1:8">
      <c r="A1054" t="s">
        <v>85</v>
      </c>
      <c r="B1054">
        <v>45000</v>
      </c>
      <c r="C1054" t="s">
        <v>62</v>
      </c>
      <c r="D1054" s="2">
        <v>92476927</v>
      </c>
      <c r="E1054" s="2">
        <v>80547442</v>
      </c>
      <c r="F1054" s="2">
        <v>32285734</v>
      </c>
      <c r="G1054" s="2">
        <f t="shared" si="32"/>
        <v>112833176</v>
      </c>
      <c r="H1054">
        <f t="shared" si="33"/>
        <v>1.2201224636281438</v>
      </c>
    </row>
    <row r="1055" spans="1:8">
      <c r="A1055" t="s">
        <v>85</v>
      </c>
      <c r="B1055">
        <v>46000</v>
      </c>
      <c r="C1055" t="s">
        <v>63</v>
      </c>
      <c r="D1055" s="2">
        <v>141979744</v>
      </c>
      <c r="E1055" s="2">
        <v>158108707</v>
      </c>
      <c r="F1055" s="2">
        <v>44138294</v>
      </c>
      <c r="G1055" s="2">
        <f t="shared" si="32"/>
        <v>202247001</v>
      </c>
      <c r="H1055">
        <f t="shared" si="33"/>
        <v>1.4244778536859455</v>
      </c>
    </row>
    <row r="1056" spans="1:8">
      <c r="A1056" t="s">
        <v>85</v>
      </c>
      <c r="B1056">
        <v>47000</v>
      </c>
      <c r="C1056" t="s">
        <v>64</v>
      </c>
      <c r="D1056" s="2">
        <v>79367554</v>
      </c>
      <c r="E1056" s="2">
        <v>158164688</v>
      </c>
      <c r="F1056" s="2">
        <v>23055681</v>
      </c>
      <c r="G1056" s="2">
        <f t="shared" si="32"/>
        <v>181220369</v>
      </c>
      <c r="H1056">
        <f t="shared" si="33"/>
        <v>2.2833054550225902</v>
      </c>
    </row>
    <row r="1057" spans="1:8">
      <c r="A1057" t="s">
        <v>86</v>
      </c>
      <c r="B1057" s="1" t="s">
        <v>7</v>
      </c>
      <c r="C1057" t="s">
        <v>8</v>
      </c>
      <c r="D1057" s="2">
        <v>15728740977</v>
      </c>
      <c r="E1057" s="2">
        <v>4804039415</v>
      </c>
      <c r="F1057" s="2">
        <v>1295482883</v>
      </c>
      <c r="G1057" s="2">
        <f t="shared" si="32"/>
        <v>6099522298</v>
      </c>
      <c r="H1057">
        <f t="shared" si="33"/>
        <v>0.38779469424280544</v>
      </c>
    </row>
    <row r="1058" spans="1:8">
      <c r="A1058" t="s">
        <v>86</v>
      </c>
      <c r="B1058" s="1" t="s">
        <v>9</v>
      </c>
      <c r="C1058" t="s">
        <v>10</v>
      </c>
      <c r="D1058" s="2">
        <v>543137516</v>
      </c>
      <c r="E1058" s="2">
        <v>383143707</v>
      </c>
      <c r="F1058" s="2">
        <v>78948162</v>
      </c>
      <c r="G1058" s="2">
        <f t="shared" si="32"/>
        <v>462091869</v>
      </c>
      <c r="H1058">
        <f t="shared" si="33"/>
        <v>0.85078245451194356</v>
      </c>
    </row>
    <row r="1059" spans="1:8">
      <c r="A1059" t="s">
        <v>86</v>
      </c>
      <c r="B1059" s="1" t="s">
        <v>11</v>
      </c>
      <c r="C1059" t="s">
        <v>12</v>
      </c>
      <c r="D1059" s="2">
        <v>114496560</v>
      </c>
      <c r="E1059" s="2">
        <v>104231656</v>
      </c>
      <c r="F1059" s="2">
        <v>25392860</v>
      </c>
      <c r="G1059" s="2">
        <f t="shared" si="32"/>
        <v>129624516</v>
      </c>
      <c r="H1059">
        <f t="shared" si="33"/>
        <v>1.1321258560082503</v>
      </c>
    </row>
    <row r="1060" spans="1:8">
      <c r="A1060" t="s">
        <v>86</v>
      </c>
      <c r="B1060" s="1" t="s">
        <v>13</v>
      </c>
      <c r="C1060" t="s">
        <v>14</v>
      </c>
      <c r="D1060" s="2">
        <v>121233322</v>
      </c>
      <c r="E1060" s="2">
        <v>118053067</v>
      </c>
      <c r="F1060" s="2">
        <v>22669639</v>
      </c>
      <c r="G1060" s="2">
        <f t="shared" si="32"/>
        <v>140722706</v>
      </c>
      <c r="H1060">
        <f t="shared" si="33"/>
        <v>1.1607593001534677</v>
      </c>
    </row>
    <row r="1061" spans="1:8">
      <c r="A1061" t="s">
        <v>86</v>
      </c>
      <c r="B1061" s="1" t="s">
        <v>15</v>
      </c>
      <c r="C1061" t="s">
        <v>16</v>
      </c>
      <c r="D1061" s="2">
        <v>245234596</v>
      </c>
      <c r="E1061" s="2">
        <v>100068654</v>
      </c>
      <c r="F1061" s="2">
        <v>20938069</v>
      </c>
      <c r="G1061" s="2">
        <f t="shared" si="32"/>
        <v>121006723</v>
      </c>
      <c r="H1061">
        <f t="shared" si="33"/>
        <v>0.49343251308636732</v>
      </c>
    </row>
    <row r="1062" spans="1:8">
      <c r="A1062" t="s">
        <v>86</v>
      </c>
      <c r="B1062" s="1" t="s">
        <v>17</v>
      </c>
      <c r="C1062" t="s">
        <v>18</v>
      </c>
      <c r="D1062" s="2">
        <v>105766613</v>
      </c>
      <c r="E1062" s="2">
        <v>106421192</v>
      </c>
      <c r="F1062" s="2">
        <v>17952159</v>
      </c>
      <c r="G1062" s="2">
        <f t="shared" si="32"/>
        <v>124373351</v>
      </c>
      <c r="H1062">
        <f t="shared" si="33"/>
        <v>1.175922604234287</v>
      </c>
    </row>
    <row r="1063" spans="1:8">
      <c r="A1063" t="s">
        <v>86</v>
      </c>
      <c r="B1063" s="1" t="s">
        <v>19</v>
      </c>
      <c r="C1063" t="s">
        <v>20</v>
      </c>
      <c r="D1063" s="2">
        <v>107898360</v>
      </c>
      <c r="E1063" s="2">
        <v>94081244</v>
      </c>
      <c r="F1063" s="2">
        <v>20885283</v>
      </c>
      <c r="G1063" s="2">
        <f t="shared" si="32"/>
        <v>114966527</v>
      </c>
      <c r="H1063">
        <f t="shared" si="33"/>
        <v>1.065507640709275</v>
      </c>
    </row>
    <row r="1064" spans="1:8">
      <c r="A1064" t="s">
        <v>86</v>
      </c>
      <c r="B1064" s="1" t="s">
        <v>21</v>
      </c>
      <c r="C1064" t="s">
        <v>22</v>
      </c>
      <c r="D1064" s="2">
        <v>227310851</v>
      </c>
      <c r="E1064" s="2">
        <v>126851549</v>
      </c>
      <c r="F1064" s="2">
        <v>27213446</v>
      </c>
      <c r="G1064" s="2">
        <f t="shared" si="32"/>
        <v>154064995</v>
      </c>
      <c r="H1064">
        <f t="shared" si="33"/>
        <v>0.67777228549463309</v>
      </c>
    </row>
    <row r="1065" spans="1:8">
      <c r="A1065" t="s">
        <v>86</v>
      </c>
      <c r="B1065" s="1" t="s">
        <v>23</v>
      </c>
      <c r="C1065" t="s">
        <v>24</v>
      </c>
      <c r="D1065" s="2">
        <v>317116695</v>
      </c>
      <c r="E1065" s="2">
        <v>80061147</v>
      </c>
      <c r="F1065" s="2">
        <v>28684843</v>
      </c>
      <c r="G1065" s="2">
        <f t="shared" si="32"/>
        <v>108745990</v>
      </c>
      <c r="H1065">
        <f t="shared" si="33"/>
        <v>0.34292104993084643</v>
      </c>
    </row>
    <row r="1066" spans="1:8">
      <c r="A1066" t="s">
        <v>86</v>
      </c>
      <c r="B1066" s="1" t="s">
        <v>25</v>
      </c>
      <c r="C1066" t="s">
        <v>26</v>
      </c>
      <c r="D1066" s="2">
        <v>230974630</v>
      </c>
      <c r="E1066" s="2">
        <v>68034761</v>
      </c>
      <c r="F1066" s="2">
        <v>16736644</v>
      </c>
      <c r="G1066" s="2">
        <f t="shared" si="32"/>
        <v>84771405</v>
      </c>
      <c r="H1066">
        <f t="shared" si="33"/>
        <v>0.36701608743782815</v>
      </c>
    </row>
    <row r="1067" spans="1:8">
      <c r="A1067" t="s">
        <v>86</v>
      </c>
      <c r="B1067">
        <v>10000</v>
      </c>
      <c r="C1067" t="s">
        <v>27</v>
      </c>
      <c r="D1067" s="2">
        <v>220860176</v>
      </c>
      <c r="E1067" s="2">
        <v>78553302</v>
      </c>
      <c r="F1067" s="2">
        <v>21469590</v>
      </c>
      <c r="G1067" s="2">
        <f t="shared" si="32"/>
        <v>100022892</v>
      </c>
      <c r="H1067">
        <f t="shared" si="33"/>
        <v>0.45287880237856915</v>
      </c>
    </row>
    <row r="1068" spans="1:8">
      <c r="A1068" t="s">
        <v>86</v>
      </c>
      <c r="B1068">
        <v>11000</v>
      </c>
      <c r="C1068" t="s">
        <v>28</v>
      </c>
      <c r="D1068" s="2">
        <v>626269320</v>
      </c>
      <c r="E1068" s="2">
        <v>90149169</v>
      </c>
      <c r="F1068" s="2">
        <v>36882092</v>
      </c>
      <c r="G1068" s="2">
        <f t="shared" si="32"/>
        <v>127031261</v>
      </c>
      <c r="H1068">
        <f t="shared" si="33"/>
        <v>0.20283807132688536</v>
      </c>
    </row>
    <row r="1069" spans="1:8">
      <c r="A1069" t="s">
        <v>86</v>
      </c>
      <c r="B1069">
        <v>12000</v>
      </c>
      <c r="C1069" t="s">
        <v>29</v>
      </c>
      <c r="D1069" s="2">
        <v>554231285</v>
      </c>
      <c r="E1069" s="2">
        <v>94692489</v>
      </c>
      <c r="F1069" s="2">
        <v>37523915</v>
      </c>
      <c r="G1069" s="2">
        <f t="shared" si="32"/>
        <v>132216404</v>
      </c>
      <c r="H1069">
        <f t="shared" si="33"/>
        <v>0.23855817522101808</v>
      </c>
    </row>
    <row r="1070" spans="1:8">
      <c r="A1070" t="s">
        <v>86</v>
      </c>
      <c r="B1070">
        <v>13000</v>
      </c>
      <c r="C1070" t="s">
        <v>30</v>
      </c>
      <c r="D1070" s="2">
        <v>3988651211</v>
      </c>
      <c r="E1070" s="2">
        <v>227260230</v>
      </c>
      <c r="F1070" s="2">
        <v>64532840</v>
      </c>
      <c r="G1070" s="2">
        <f t="shared" si="32"/>
        <v>291793070</v>
      </c>
      <c r="H1070">
        <f t="shared" si="33"/>
        <v>7.315582500552717E-2</v>
      </c>
    </row>
    <row r="1071" spans="1:8">
      <c r="A1071" t="s">
        <v>86</v>
      </c>
      <c r="B1071">
        <v>14000</v>
      </c>
      <c r="C1071" t="s">
        <v>31</v>
      </c>
      <c r="D1071" s="2">
        <v>917409532</v>
      </c>
      <c r="E1071" s="2">
        <v>65119382</v>
      </c>
      <c r="F1071" s="2">
        <v>32697915</v>
      </c>
      <c r="G1071" s="2">
        <f t="shared" si="32"/>
        <v>97817297</v>
      </c>
      <c r="H1071">
        <f t="shared" si="33"/>
        <v>0.10662337112058697</v>
      </c>
    </row>
    <row r="1072" spans="1:8">
      <c r="A1072" t="s">
        <v>86</v>
      </c>
      <c r="B1072">
        <v>15000</v>
      </c>
      <c r="C1072" t="s">
        <v>32</v>
      </c>
      <c r="D1072" s="2">
        <v>264283804</v>
      </c>
      <c r="E1072" s="2">
        <v>203788268</v>
      </c>
      <c r="F1072" s="2">
        <v>31113118</v>
      </c>
      <c r="G1072" s="2">
        <f t="shared" si="32"/>
        <v>234901386</v>
      </c>
      <c r="H1072">
        <f t="shared" si="33"/>
        <v>0.88882247964010686</v>
      </c>
    </row>
    <row r="1073" spans="1:8">
      <c r="A1073" t="s">
        <v>86</v>
      </c>
      <c r="B1073">
        <v>16000</v>
      </c>
      <c r="C1073" t="s">
        <v>33</v>
      </c>
      <c r="D1073" s="2">
        <v>126838300</v>
      </c>
      <c r="E1073" s="2">
        <v>70131321</v>
      </c>
      <c r="F1073" s="2">
        <v>16535083</v>
      </c>
      <c r="G1073" s="2">
        <f t="shared" si="32"/>
        <v>86666404</v>
      </c>
      <c r="H1073">
        <f t="shared" si="33"/>
        <v>0.68328260470220747</v>
      </c>
    </row>
    <row r="1074" spans="1:8">
      <c r="A1074" t="s">
        <v>86</v>
      </c>
      <c r="B1074">
        <v>17000</v>
      </c>
      <c r="C1074" t="s">
        <v>34</v>
      </c>
      <c r="D1074" s="2">
        <v>134770573</v>
      </c>
      <c r="E1074" s="2">
        <v>72138520</v>
      </c>
      <c r="F1074" s="2">
        <v>14634478</v>
      </c>
      <c r="G1074" s="2">
        <f t="shared" si="32"/>
        <v>86772998</v>
      </c>
      <c r="H1074">
        <f t="shared" si="33"/>
        <v>0.64385715715551639</v>
      </c>
    </row>
    <row r="1075" spans="1:8">
      <c r="A1075" t="s">
        <v>86</v>
      </c>
      <c r="B1075">
        <v>18000</v>
      </c>
      <c r="C1075" t="s">
        <v>35</v>
      </c>
      <c r="D1075" s="2">
        <v>114860767</v>
      </c>
      <c r="E1075" s="2">
        <v>67234161</v>
      </c>
      <c r="F1075" s="2">
        <v>14053386</v>
      </c>
      <c r="G1075" s="2">
        <f t="shared" si="32"/>
        <v>81287547</v>
      </c>
      <c r="H1075">
        <f t="shared" si="33"/>
        <v>0.70770506869416949</v>
      </c>
    </row>
    <row r="1076" spans="1:8">
      <c r="A1076" t="s">
        <v>86</v>
      </c>
      <c r="B1076">
        <v>19000</v>
      </c>
      <c r="C1076" t="s">
        <v>36</v>
      </c>
      <c r="D1076" s="2">
        <v>94932847</v>
      </c>
      <c r="E1076" s="2">
        <v>73235086</v>
      </c>
      <c r="F1076" s="2">
        <v>7449303</v>
      </c>
      <c r="G1076" s="2">
        <f t="shared" si="32"/>
        <v>80684389</v>
      </c>
      <c r="H1076">
        <f t="shared" si="33"/>
        <v>0.84991013700452911</v>
      </c>
    </row>
    <row r="1077" spans="1:8">
      <c r="A1077" t="s">
        <v>86</v>
      </c>
      <c r="B1077">
        <v>20000</v>
      </c>
      <c r="C1077" t="s">
        <v>37</v>
      </c>
      <c r="D1077" s="2">
        <v>242219144</v>
      </c>
      <c r="E1077" s="2">
        <v>134743913</v>
      </c>
      <c r="F1077" s="2">
        <v>30655169</v>
      </c>
      <c r="G1077" s="2">
        <f t="shared" si="32"/>
        <v>165399082</v>
      </c>
      <c r="H1077">
        <f t="shared" si="33"/>
        <v>0.68284892460853552</v>
      </c>
    </row>
    <row r="1078" spans="1:8">
      <c r="A1078" t="s">
        <v>86</v>
      </c>
      <c r="B1078">
        <v>21000</v>
      </c>
      <c r="C1078" t="s">
        <v>38</v>
      </c>
      <c r="D1078" s="2">
        <v>225041448</v>
      </c>
      <c r="E1078" s="2">
        <v>91207349</v>
      </c>
      <c r="F1078" s="2">
        <v>22593740</v>
      </c>
      <c r="G1078" s="2">
        <f t="shared" si="32"/>
        <v>113801089</v>
      </c>
      <c r="H1078">
        <f t="shared" si="33"/>
        <v>0.50568946303616036</v>
      </c>
    </row>
    <row r="1079" spans="1:8">
      <c r="A1079" t="s">
        <v>86</v>
      </c>
      <c r="B1079">
        <v>22000</v>
      </c>
      <c r="C1079" t="s">
        <v>39</v>
      </c>
      <c r="D1079" s="2">
        <v>463042457</v>
      </c>
      <c r="E1079" s="2">
        <v>98015059</v>
      </c>
      <c r="F1079" s="2">
        <v>25315580</v>
      </c>
      <c r="G1079" s="2">
        <f t="shared" si="32"/>
        <v>123330639</v>
      </c>
      <c r="H1079">
        <f t="shared" si="33"/>
        <v>0.26634844631536669</v>
      </c>
    </row>
    <row r="1080" spans="1:8">
      <c r="A1080" t="s">
        <v>86</v>
      </c>
      <c r="B1080">
        <v>23000</v>
      </c>
      <c r="C1080" t="s">
        <v>40</v>
      </c>
      <c r="D1080" s="2">
        <v>945171238</v>
      </c>
      <c r="E1080" s="2">
        <v>113791840</v>
      </c>
      <c r="F1080" s="2">
        <v>38745632</v>
      </c>
      <c r="G1080" s="2">
        <f t="shared" si="32"/>
        <v>152537472</v>
      </c>
      <c r="H1080">
        <f t="shared" si="33"/>
        <v>0.16138607044663372</v>
      </c>
    </row>
    <row r="1081" spans="1:8">
      <c r="A1081" t="s">
        <v>86</v>
      </c>
      <c r="B1081">
        <v>24000</v>
      </c>
      <c r="C1081" t="s">
        <v>41</v>
      </c>
      <c r="D1081" s="2">
        <v>200987977</v>
      </c>
      <c r="E1081" s="2">
        <v>71106710</v>
      </c>
      <c r="F1081" s="2">
        <v>15306380</v>
      </c>
      <c r="G1081" s="2">
        <f t="shared" si="32"/>
        <v>86413090</v>
      </c>
      <c r="H1081">
        <f t="shared" si="33"/>
        <v>0.42994158799856969</v>
      </c>
    </row>
    <row r="1082" spans="1:8">
      <c r="A1082" t="s">
        <v>86</v>
      </c>
      <c r="B1082">
        <v>25000</v>
      </c>
      <c r="C1082" t="s">
        <v>42</v>
      </c>
      <c r="D1082" s="2">
        <v>148863397</v>
      </c>
      <c r="E1082" s="2">
        <v>47644667</v>
      </c>
      <c r="F1082" s="2">
        <v>19480408</v>
      </c>
      <c r="G1082" s="2">
        <f t="shared" si="32"/>
        <v>67125075</v>
      </c>
      <c r="H1082">
        <f t="shared" si="33"/>
        <v>0.4509172593985612</v>
      </c>
    </row>
    <row r="1083" spans="1:8">
      <c r="A1083" t="s">
        <v>86</v>
      </c>
      <c r="B1083">
        <v>26000</v>
      </c>
      <c r="C1083" t="s">
        <v>43</v>
      </c>
      <c r="D1083" s="2">
        <v>275048749</v>
      </c>
      <c r="E1083" s="2">
        <v>51264580</v>
      </c>
      <c r="F1083" s="2">
        <v>15566035</v>
      </c>
      <c r="G1083" s="2">
        <f t="shared" si="32"/>
        <v>66830615</v>
      </c>
      <c r="H1083">
        <f t="shared" si="33"/>
        <v>0.24297734580861519</v>
      </c>
    </row>
    <row r="1084" spans="1:8">
      <c r="A1084" t="s">
        <v>86</v>
      </c>
      <c r="B1084">
        <v>27000</v>
      </c>
      <c r="C1084" t="s">
        <v>44</v>
      </c>
      <c r="D1084" s="2">
        <v>1092982185</v>
      </c>
      <c r="E1084" s="2">
        <v>131724233</v>
      </c>
      <c r="F1084" s="2">
        <v>53807917</v>
      </c>
      <c r="G1084" s="2">
        <f t="shared" si="32"/>
        <v>185532150</v>
      </c>
      <c r="H1084">
        <f t="shared" si="33"/>
        <v>0.16974855816154039</v>
      </c>
    </row>
    <row r="1085" spans="1:8">
      <c r="A1085" t="s">
        <v>86</v>
      </c>
      <c r="B1085">
        <v>28000</v>
      </c>
      <c r="C1085" t="s">
        <v>45</v>
      </c>
      <c r="D1085" s="2">
        <v>530268460</v>
      </c>
      <c r="E1085" s="2">
        <v>195281391</v>
      </c>
      <c r="F1085" s="2">
        <v>80172233</v>
      </c>
      <c r="G1085" s="2">
        <f t="shared" si="32"/>
        <v>275453624</v>
      </c>
      <c r="H1085">
        <f t="shared" si="33"/>
        <v>0.51946069732301259</v>
      </c>
    </row>
    <row r="1086" spans="1:8">
      <c r="A1086" t="s">
        <v>86</v>
      </c>
      <c r="B1086">
        <v>29000</v>
      </c>
      <c r="C1086" t="s">
        <v>46</v>
      </c>
      <c r="D1086" s="2">
        <v>119460369</v>
      </c>
      <c r="E1086" s="2">
        <v>43788940</v>
      </c>
      <c r="F1086" s="2">
        <v>14271803</v>
      </c>
      <c r="G1086" s="2">
        <f t="shared" si="32"/>
        <v>58060743</v>
      </c>
      <c r="H1086">
        <f t="shared" si="33"/>
        <v>0.48602514361896876</v>
      </c>
    </row>
    <row r="1087" spans="1:8">
      <c r="A1087" t="s">
        <v>86</v>
      </c>
      <c r="B1087">
        <v>30000</v>
      </c>
      <c r="C1087" t="s">
        <v>47</v>
      </c>
      <c r="D1087" s="2">
        <v>92224243</v>
      </c>
      <c r="E1087" s="2">
        <v>60562375</v>
      </c>
      <c r="F1087" s="2">
        <v>14789068</v>
      </c>
      <c r="G1087" s="2">
        <f t="shared" si="32"/>
        <v>75351443</v>
      </c>
      <c r="H1087">
        <f t="shared" si="33"/>
        <v>0.81704593660909741</v>
      </c>
    </row>
    <row r="1088" spans="1:8">
      <c r="A1088" t="s">
        <v>86</v>
      </c>
      <c r="B1088">
        <v>31000</v>
      </c>
      <c r="C1088" t="s">
        <v>48</v>
      </c>
      <c r="D1088" s="2">
        <v>54192793</v>
      </c>
      <c r="E1088" s="2">
        <v>57168678</v>
      </c>
      <c r="F1088" s="2">
        <v>15676357</v>
      </c>
      <c r="G1088" s="2">
        <f t="shared" si="32"/>
        <v>72845035</v>
      </c>
      <c r="H1088">
        <f t="shared" si="33"/>
        <v>1.3441830724613142</v>
      </c>
    </row>
    <row r="1089" spans="1:8">
      <c r="A1089" t="s">
        <v>86</v>
      </c>
      <c r="B1089">
        <v>32000</v>
      </c>
      <c r="C1089" t="s">
        <v>49</v>
      </c>
      <c r="D1089" s="2">
        <v>67475715</v>
      </c>
      <c r="E1089" s="2">
        <v>89527175</v>
      </c>
      <c r="F1089" s="2">
        <v>20959927</v>
      </c>
      <c r="G1089" s="2">
        <f t="shared" si="32"/>
        <v>110487102</v>
      </c>
      <c r="H1089">
        <f t="shared" si="33"/>
        <v>1.637435068305686</v>
      </c>
    </row>
    <row r="1090" spans="1:8">
      <c r="A1090" t="s">
        <v>86</v>
      </c>
      <c r="B1090">
        <v>33000</v>
      </c>
      <c r="C1090" t="s">
        <v>50</v>
      </c>
      <c r="D1090" s="2">
        <v>197730965</v>
      </c>
      <c r="E1090" s="2">
        <v>69904288</v>
      </c>
      <c r="F1090" s="2">
        <v>23510726</v>
      </c>
      <c r="G1090" s="2">
        <f t="shared" si="32"/>
        <v>93415014</v>
      </c>
      <c r="H1090">
        <f t="shared" si="33"/>
        <v>0.47243492692204281</v>
      </c>
    </row>
    <row r="1091" spans="1:8">
      <c r="A1091" t="s">
        <v>86</v>
      </c>
      <c r="B1091">
        <v>34000</v>
      </c>
      <c r="C1091" t="s">
        <v>51</v>
      </c>
      <c r="D1091" s="2">
        <v>301400975</v>
      </c>
      <c r="E1091" s="2">
        <v>83753033</v>
      </c>
      <c r="F1091" s="2">
        <v>48271573</v>
      </c>
      <c r="G1091" s="2">
        <f t="shared" ref="G1091:G1154" si="34">E1091+F1091</f>
        <v>132024606</v>
      </c>
      <c r="H1091">
        <f t="shared" ref="H1091:H1154" si="35">G1091/D1091</f>
        <v>0.43803642639178592</v>
      </c>
    </row>
    <row r="1092" spans="1:8">
      <c r="A1092" t="s">
        <v>86</v>
      </c>
      <c r="B1092">
        <v>35000</v>
      </c>
      <c r="C1092" t="s">
        <v>52</v>
      </c>
      <c r="D1092" s="2">
        <v>154548226</v>
      </c>
      <c r="E1092" s="2">
        <v>84493447</v>
      </c>
      <c r="F1092" s="2">
        <v>22331828</v>
      </c>
      <c r="G1092" s="2">
        <f t="shared" si="34"/>
        <v>106825275</v>
      </c>
      <c r="H1092">
        <f t="shared" si="35"/>
        <v>0.69120997221928637</v>
      </c>
    </row>
    <row r="1093" spans="1:8">
      <c r="A1093" t="s">
        <v>86</v>
      </c>
      <c r="B1093">
        <v>36000</v>
      </c>
      <c r="C1093" t="s">
        <v>53</v>
      </c>
      <c r="D1093" s="2">
        <v>75124647</v>
      </c>
      <c r="E1093" s="2">
        <v>68304693</v>
      </c>
      <c r="F1093" s="2">
        <v>12187101</v>
      </c>
      <c r="G1093" s="2">
        <f t="shared" si="34"/>
        <v>80491794</v>
      </c>
      <c r="H1093">
        <f t="shared" si="35"/>
        <v>1.0714432242190768</v>
      </c>
    </row>
    <row r="1094" spans="1:8">
      <c r="A1094" t="s">
        <v>86</v>
      </c>
      <c r="B1094">
        <v>37000</v>
      </c>
      <c r="C1094" t="s">
        <v>54</v>
      </c>
      <c r="D1094" s="2">
        <v>107043523</v>
      </c>
      <c r="E1094" s="2">
        <v>37210424</v>
      </c>
      <c r="F1094" s="2">
        <v>13773087</v>
      </c>
      <c r="G1094" s="2">
        <f t="shared" si="34"/>
        <v>50983511</v>
      </c>
      <c r="H1094">
        <f t="shared" si="35"/>
        <v>0.47628767786351728</v>
      </c>
    </row>
    <row r="1095" spans="1:8">
      <c r="A1095" t="s">
        <v>86</v>
      </c>
      <c r="B1095">
        <v>38000</v>
      </c>
      <c r="C1095" t="s">
        <v>55</v>
      </c>
      <c r="D1095" s="2">
        <v>127738317</v>
      </c>
      <c r="E1095" s="2">
        <v>68444950</v>
      </c>
      <c r="F1095" s="2">
        <v>16112856</v>
      </c>
      <c r="G1095" s="2">
        <f t="shared" si="34"/>
        <v>84557806</v>
      </c>
      <c r="H1095">
        <f t="shared" si="35"/>
        <v>0.66196117176023228</v>
      </c>
    </row>
    <row r="1096" spans="1:8">
      <c r="A1096" t="s">
        <v>86</v>
      </c>
      <c r="B1096">
        <v>39000</v>
      </c>
      <c r="C1096" t="s">
        <v>56</v>
      </c>
      <c r="D1096" s="2">
        <v>62251920</v>
      </c>
      <c r="E1096" s="2">
        <v>87060241</v>
      </c>
      <c r="F1096" s="2">
        <v>16492117</v>
      </c>
      <c r="G1096" s="2">
        <f t="shared" si="34"/>
        <v>103552358</v>
      </c>
      <c r="H1096">
        <f t="shared" si="35"/>
        <v>1.6634403886659239</v>
      </c>
    </row>
    <row r="1097" spans="1:8">
      <c r="A1097" t="s">
        <v>86</v>
      </c>
      <c r="B1097">
        <v>40000</v>
      </c>
      <c r="C1097" t="s">
        <v>57</v>
      </c>
      <c r="D1097" s="2">
        <v>452648325</v>
      </c>
      <c r="E1097" s="2">
        <v>90797951</v>
      </c>
      <c r="F1097" s="2">
        <v>46521115</v>
      </c>
      <c r="G1097" s="2">
        <f t="shared" si="34"/>
        <v>137319066</v>
      </c>
      <c r="H1097">
        <f t="shared" si="35"/>
        <v>0.3033681081223486</v>
      </c>
    </row>
    <row r="1098" spans="1:8">
      <c r="A1098" t="s">
        <v>86</v>
      </c>
      <c r="B1098">
        <v>41000</v>
      </c>
      <c r="C1098" t="s">
        <v>58</v>
      </c>
      <c r="D1098" s="2">
        <v>83643248</v>
      </c>
      <c r="E1098" s="2">
        <v>74100366</v>
      </c>
      <c r="F1098" s="2">
        <v>12294541</v>
      </c>
      <c r="G1098" s="2">
        <f t="shared" si="34"/>
        <v>86394907</v>
      </c>
      <c r="H1098">
        <f t="shared" si="35"/>
        <v>1.0328975627536607</v>
      </c>
    </row>
    <row r="1099" spans="1:8">
      <c r="A1099" t="s">
        <v>86</v>
      </c>
      <c r="B1099">
        <v>42000</v>
      </c>
      <c r="C1099" t="s">
        <v>59</v>
      </c>
      <c r="D1099" s="2">
        <v>108112758</v>
      </c>
      <c r="E1099" s="2">
        <v>126404148</v>
      </c>
      <c r="F1099" s="2">
        <v>24597965</v>
      </c>
      <c r="G1099" s="2">
        <f t="shared" si="34"/>
        <v>151002113</v>
      </c>
      <c r="H1099">
        <f t="shared" si="35"/>
        <v>1.3967094706806018</v>
      </c>
    </row>
    <row r="1100" spans="1:8">
      <c r="A1100" t="s">
        <v>86</v>
      </c>
      <c r="B1100">
        <v>43000</v>
      </c>
      <c r="C1100" t="s">
        <v>60</v>
      </c>
      <c r="D1100" s="2">
        <v>143901638</v>
      </c>
      <c r="E1100" s="2">
        <v>107705194</v>
      </c>
      <c r="F1100" s="2">
        <v>45494031</v>
      </c>
      <c r="G1100" s="2">
        <f t="shared" si="34"/>
        <v>153199225</v>
      </c>
      <c r="H1100">
        <f t="shared" si="35"/>
        <v>1.0646107099906674</v>
      </c>
    </row>
    <row r="1101" spans="1:8">
      <c r="A1101" t="s">
        <v>86</v>
      </c>
      <c r="B1101">
        <v>44000</v>
      </c>
      <c r="C1101" t="s">
        <v>61</v>
      </c>
      <c r="D1101" s="2">
        <v>103042423</v>
      </c>
      <c r="E1101" s="2">
        <v>92870023</v>
      </c>
      <c r="F1101" s="2">
        <v>16949983</v>
      </c>
      <c r="G1101" s="2">
        <f t="shared" si="34"/>
        <v>109820006</v>
      </c>
      <c r="H1101">
        <f t="shared" si="35"/>
        <v>1.0657746858301265</v>
      </c>
    </row>
    <row r="1102" spans="1:8">
      <c r="A1102" t="s">
        <v>86</v>
      </c>
      <c r="B1102">
        <v>45000</v>
      </c>
      <c r="C1102" t="s">
        <v>62</v>
      </c>
      <c r="D1102" s="2">
        <v>90461600</v>
      </c>
      <c r="E1102" s="2">
        <v>85925559</v>
      </c>
      <c r="F1102" s="2">
        <v>32055296</v>
      </c>
      <c r="G1102" s="2">
        <f t="shared" si="34"/>
        <v>117980855</v>
      </c>
      <c r="H1102">
        <f t="shared" si="35"/>
        <v>1.304209244585548</v>
      </c>
    </row>
    <row r="1103" spans="1:8">
      <c r="A1103" t="s">
        <v>86</v>
      </c>
      <c r="B1103">
        <v>46000</v>
      </c>
      <c r="C1103" t="s">
        <v>63</v>
      </c>
      <c r="D1103" s="2">
        <v>133606809</v>
      </c>
      <c r="E1103" s="2">
        <v>162300056</v>
      </c>
      <c r="F1103" s="2">
        <v>39269861</v>
      </c>
      <c r="G1103" s="2">
        <f t="shared" si="34"/>
        <v>201569917</v>
      </c>
      <c r="H1103">
        <f t="shared" si="35"/>
        <v>1.508679973039398</v>
      </c>
    </row>
    <row r="1104" spans="1:8">
      <c r="A1104" t="s">
        <v>86</v>
      </c>
      <c r="B1104">
        <v>47000</v>
      </c>
      <c r="C1104" t="s">
        <v>64</v>
      </c>
      <c r="D1104" s="2">
        <v>74230470</v>
      </c>
      <c r="E1104" s="2">
        <v>155689227</v>
      </c>
      <c r="F1104" s="2">
        <v>21967729</v>
      </c>
      <c r="G1104" s="2">
        <f t="shared" si="34"/>
        <v>177656956</v>
      </c>
      <c r="H1104">
        <f t="shared" si="35"/>
        <v>2.3933157906719438</v>
      </c>
    </row>
    <row r="1105" spans="1:8">
      <c r="A1105" t="s">
        <v>87</v>
      </c>
      <c r="B1105" s="1" t="s">
        <v>7</v>
      </c>
      <c r="C1105" t="s">
        <v>8</v>
      </c>
      <c r="D1105" s="2">
        <v>15352495984</v>
      </c>
      <c r="E1105" s="2">
        <v>4346540459</v>
      </c>
      <c r="F1105" s="2">
        <v>1279463957</v>
      </c>
      <c r="G1105" s="2">
        <f t="shared" si="34"/>
        <v>5626004416</v>
      </c>
      <c r="H1105">
        <f t="shared" si="35"/>
        <v>0.36645535825987419</v>
      </c>
    </row>
    <row r="1106" spans="1:8">
      <c r="A1106" t="s">
        <v>87</v>
      </c>
      <c r="B1106" s="1" t="s">
        <v>9</v>
      </c>
      <c r="C1106" t="s">
        <v>10</v>
      </c>
      <c r="D1106" s="2">
        <v>543410529</v>
      </c>
      <c r="E1106" s="2">
        <v>328707742</v>
      </c>
      <c r="F1106" s="2">
        <v>79969193</v>
      </c>
      <c r="G1106" s="2">
        <f t="shared" si="34"/>
        <v>408676935</v>
      </c>
      <c r="H1106">
        <f t="shared" si="35"/>
        <v>0.7520592870220224</v>
      </c>
    </row>
    <row r="1107" spans="1:8">
      <c r="A1107" t="s">
        <v>87</v>
      </c>
      <c r="B1107" s="1" t="s">
        <v>11</v>
      </c>
      <c r="C1107" t="s">
        <v>12</v>
      </c>
      <c r="D1107" s="2">
        <v>112951966</v>
      </c>
      <c r="E1107" s="2">
        <v>99558144</v>
      </c>
      <c r="F1107" s="2">
        <v>24572086</v>
      </c>
      <c r="G1107" s="2">
        <f t="shared" si="34"/>
        <v>124130230</v>
      </c>
      <c r="H1107">
        <f t="shared" si="35"/>
        <v>1.0989647581698578</v>
      </c>
    </row>
    <row r="1108" spans="1:8">
      <c r="A1108" t="s">
        <v>87</v>
      </c>
      <c r="B1108" s="1" t="s">
        <v>13</v>
      </c>
      <c r="C1108" t="s">
        <v>14</v>
      </c>
      <c r="D1108" s="2">
        <v>117458411</v>
      </c>
      <c r="E1108" s="2">
        <v>116102960</v>
      </c>
      <c r="F1108" s="2">
        <v>21683425</v>
      </c>
      <c r="G1108" s="2">
        <f t="shared" si="34"/>
        <v>137786385</v>
      </c>
      <c r="H1108">
        <f t="shared" si="35"/>
        <v>1.1730652903179493</v>
      </c>
    </row>
    <row r="1109" spans="1:8">
      <c r="A1109" t="s">
        <v>87</v>
      </c>
      <c r="B1109" s="1" t="s">
        <v>15</v>
      </c>
      <c r="C1109" t="s">
        <v>16</v>
      </c>
      <c r="D1109" s="2">
        <v>233562985</v>
      </c>
      <c r="E1109" s="2">
        <v>96495473</v>
      </c>
      <c r="F1109" s="2">
        <v>19894776</v>
      </c>
      <c r="G1109" s="2">
        <f t="shared" si="34"/>
        <v>116390249</v>
      </c>
      <c r="H1109">
        <f t="shared" si="35"/>
        <v>0.49832489082120612</v>
      </c>
    </row>
    <row r="1110" spans="1:8">
      <c r="A1110" t="s">
        <v>87</v>
      </c>
      <c r="B1110" s="1" t="s">
        <v>17</v>
      </c>
      <c r="C1110" t="s">
        <v>18</v>
      </c>
      <c r="D1110" s="2">
        <v>100987731</v>
      </c>
      <c r="E1110" s="2">
        <v>99872960</v>
      </c>
      <c r="F1110" s="2">
        <v>17392033</v>
      </c>
      <c r="G1110" s="2">
        <f t="shared" si="34"/>
        <v>117264993</v>
      </c>
      <c r="H1110">
        <f t="shared" si="35"/>
        <v>1.1611805893529779</v>
      </c>
    </row>
    <row r="1111" spans="1:8">
      <c r="A1111" t="s">
        <v>87</v>
      </c>
      <c r="B1111" s="1" t="s">
        <v>19</v>
      </c>
      <c r="C1111" t="s">
        <v>20</v>
      </c>
      <c r="D1111" s="2">
        <v>104822381</v>
      </c>
      <c r="E1111" s="2">
        <v>89946029</v>
      </c>
      <c r="F1111" s="2">
        <v>19537054</v>
      </c>
      <c r="G1111" s="2">
        <f t="shared" si="34"/>
        <v>109483083</v>
      </c>
      <c r="H1111">
        <f t="shared" si="35"/>
        <v>1.0444628518789323</v>
      </c>
    </row>
    <row r="1112" spans="1:8">
      <c r="A1112" t="s">
        <v>87</v>
      </c>
      <c r="B1112" s="1" t="s">
        <v>21</v>
      </c>
      <c r="C1112" t="s">
        <v>22</v>
      </c>
      <c r="D1112" s="2">
        <v>218211314</v>
      </c>
      <c r="E1112" s="2">
        <v>117603752</v>
      </c>
      <c r="F1112" s="2">
        <v>25817014</v>
      </c>
      <c r="G1112" s="2">
        <f t="shared" si="34"/>
        <v>143420766</v>
      </c>
      <c r="H1112">
        <f t="shared" si="35"/>
        <v>0.65725632356533081</v>
      </c>
    </row>
    <row r="1113" spans="1:8">
      <c r="A1113" t="s">
        <v>87</v>
      </c>
      <c r="B1113" s="1" t="s">
        <v>23</v>
      </c>
      <c r="C1113" t="s">
        <v>24</v>
      </c>
      <c r="D1113" s="2">
        <v>311889722</v>
      </c>
      <c r="E1113" s="2">
        <v>84412117</v>
      </c>
      <c r="F1113" s="2">
        <v>28116421</v>
      </c>
      <c r="G1113" s="2">
        <f t="shared" si="34"/>
        <v>112528538</v>
      </c>
      <c r="H1113">
        <f t="shared" si="35"/>
        <v>0.36079591619245471</v>
      </c>
    </row>
    <row r="1114" spans="1:8">
      <c r="A1114" t="s">
        <v>87</v>
      </c>
      <c r="B1114" s="1" t="s">
        <v>25</v>
      </c>
      <c r="C1114" t="s">
        <v>26</v>
      </c>
      <c r="D1114" s="2">
        <v>219131892</v>
      </c>
      <c r="E1114" s="2">
        <v>59958033</v>
      </c>
      <c r="F1114" s="2">
        <v>15777171</v>
      </c>
      <c r="G1114" s="2">
        <f t="shared" si="34"/>
        <v>75735204</v>
      </c>
      <c r="H1114">
        <f t="shared" si="35"/>
        <v>0.34561470404317052</v>
      </c>
    </row>
    <row r="1115" spans="1:8">
      <c r="A1115" t="s">
        <v>87</v>
      </c>
      <c r="B1115">
        <v>10000</v>
      </c>
      <c r="C1115" t="s">
        <v>27</v>
      </c>
      <c r="D1115" s="2">
        <v>209817652</v>
      </c>
      <c r="E1115" s="2">
        <v>69851396</v>
      </c>
      <c r="F1115" s="2">
        <v>20319446</v>
      </c>
      <c r="G1115" s="2">
        <f t="shared" si="34"/>
        <v>90170842</v>
      </c>
      <c r="H1115">
        <f t="shared" si="35"/>
        <v>0.42975813112235189</v>
      </c>
    </row>
    <row r="1116" spans="1:8">
      <c r="A1116" t="s">
        <v>87</v>
      </c>
      <c r="B1116">
        <v>11000</v>
      </c>
      <c r="C1116" t="s">
        <v>28</v>
      </c>
      <c r="D1116" s="2">
        <v>605991908</v>
      </c>
      <c r="E1116" s="2">
        <v>86059080</v>
      </c>
      <c r="F1116" s="2">
        <v>35146367</v>
      </c>
      <c r="G1116" s="2">
        <f t="shared" si="34"/>
        <v>121205447</v>
      </c>
      <c r="H1116">
        <f t="shared" si="35"/>
        <v>0.20001165923159489</v>
      </c>
    </row>
    <row r="1117" spans="1:8">
      <c r="A1117" t="s">
        <v>87</v>
      </c>
      <c r="B1117">
        <v>12000</v>
      </c>
      <c r="C1117" t="s">
        <v>29</v>
      </c>
      <c r="D1117" s="2">
        <v>553716782</v>
      </c>
      <c r="E1117" s="2">
        <v>91968904</v>
      </c>
      <c r="F1117" s="2">
        <v>35917255</v>
      </c>
      <c r="G1117" s="2">
        <f t="shared" si="34"/>
        <v>127886159</v>
      </c>
      <c r="H1117">
        <f t="shared" si="35"/>
        <v>0.23095951424495564</v>
      </c>
    </row>
    <row r="1118" spans="1:8">
      <c r="A1118" t="s">
        <v>87</v>
      </c>
      <c r="B1118">
        <v>13000</v>
      </c>
      <c r="C1118" t="s">
        <v>30</v>
      </c>
      <c r="D1118" s="2">
        <v>3860077590</v>
      </c>
      <c r="E1118" s="2">
        <v>151306698</v>
      </c>
      <c r="F1118" s="2">
        <v>60023022</v>
      </c>
      <c r="G1118" s="2">
        <f t="shared" si="34"/>
        <v>211329720</v>
      </c>
      <c r="H1118">
        <f t="shared" si="35"/>
        <v>5.474753164223313E-2</v>
      </c>
    </row>
    <row r="1119" spans="1:8">
      <c r="A1119" t="s">
        <v>87</v>
      </c>
      <c r="B1119">
        <v>14000</v>
      </c>
      <c r="C1119" t="s">
        <v>31</v>
      </c>
      <c r="D1119" s="2">
        <v>886631396</v>
      </c>
      <c r="E1119" s="2">
        <v>57147040</v>
      </c>
      <c r="F1119" s="2">
        <v>30574117</v>
      </c>
      <c r="G1119" s="2">
        <f t="shared" si="34"/>
        <v>87721157</v>
      </c>
      <c r="H1119">
        <f t="shared" si="35"/>
        <v>9.8937571346729078E-2</v>
      </c>
    </row>
    <row r="1120" spans="1:8">
      <c r="A1120" t="s">
        <v>87</v>
      </c>
      <c r="B1120">
        <v>15000</v>
      </c>
      <c r="C1120" t="s">
        <v>32</v>
      </c>
      <c r="D1120" s="2">
        <v>259162529</v>
      </c>
      <c r="E1120" s="2">
        <v>190796698</v>
      </c>
      <c r="F1120" s="2">
        <v>29932014</v>
      </c>
      <c r="G1120" s="2">
        <f t="shared" si="34"/>
        <v>220728712</v>
      </c>
      <c r="H1120">
        <f t="shared" si="35"/>
        <v>0.85169994617547506</v>
      </c>
    </row>
    <row r="1121" spans="1:8">
      <c r="A1121" t="s">
        <v>87</v>
      </c>
      <c r="B1121">
        <v>16000</v>
      </c>
      <c r="C1121" t="s">
        <v>33</v>
      </c>
      <c r="D1121" s="2">
        <v>123642340</v>
      </c>
      <c r="E1121" s="2">
        <v>67190505</v>
      </c>
      <c r="F1121" s="2">
        <v>15444882</v>
      </c>
      <c r="G1121" s="2">
        <f t="shared" si="34"/>
        <v>82635387</v>
      </c>
      <c r="H1121">
        <f t="shared" si="35"/>
        <v>0.66834214719650242</v>
      </c>
    </row>
    <row r="1122" spans="1:8">
      <c r="A1122" t="s">
        <v>87</v>
      </c>
      <c r="B1122">
        <v>17000</v>
      </c>
      <c r="C1122" t="s">
        <v>34</v>
      </c>
      <c r="D1122" s="2">
        <v>132306311</v>
      </c>
      <c r="E1122" s="2">
        <v>63645869</v>
      </c>
      <c r="F1122" s="2">
        <v>13803683</v>
      </c>
      <c r="G1122" s="2">
        <f t="shared" si="34"/>
        <v>77449552</v>
      </c>
      <c r="H1122">
        <f t="shared" si="35"/>
        <v>0.58538063237210203</v>
      </c>
    </row>
    <row r="1123" spans="1:8">
      <c r="A1123" t="s">
        <v>87</v>
      </c>
      <c r="B1123">
        <v>18000</v>
      </c>
      <c r="C1123" t="s">
        <v>35</v>
      </c>
      <c r="D1123" s="2">
        <v>107899581</v>
      </c>
      <c r="E1123" s="2">
        <v>64289612</v>
      </c>
      <c r="F1123" s="2">
        <v>12936285</v>
      </c>
      <c r="G1123" s="2">
        <f t="shared" si="34"/>
        <v>77225897</v>
      </c>
      <c r="H1123">
        <f t="shared" si="35"/>
        <v>0.71572008236065343</v>
      </c>
    </row>
    <row r="1124" spans="1:8">
      <c r="A1124" t="s">
        <v>87</v>
      </c>
      <c r="B1124">
        <v>19000</v>
      </c>
      <c r="C1124" t="s">
        <v>36</v>
      </c>
      <c r="D1124" s="2">
        <v>90016023</v>
      </c>
      <c r="E1124" s="2">
        <v>66218505</v>
      </c>
      <c r="F1124" s="2">
        <v>7216105</v>
      </c>
      <c r="G1124" s="2">
        <f t="shared" si="34"/>
        <v>73434610</v>
      </c>
      <c r="H1124">
        <f t="shared" si="35"/>
        <v>0.81579487243065607</v>
      </c>
    </row>
    <row r="1125" spans="1:8">
      <c r="A1125" t="s">
        <v>87</v>
      </c>
      <c r="B1125">
        <v>20000</v>
      </c>
      <c r="C1125" t="s">
        <v>37</v>
      </c>
      <c r="D1125" s="2">
        <v>231427344</v>
      </c>
      <c r="E1125" s="2">
        <v>124998923</v>
      </c>
      <c r="F1125" s="2">
        <v>28914823</v>
      </c>
      <c r="G1125" s="2">
        <f t="shared" si="34"/>
        <v>153913746</v>
      </c>
      <c r="H1125">
        <f t="shared" si="35"/>
        <v>0.66506292359298735</v>
      </c>
    </row>
    <row r="1126" spans="1:8">
      <c r="A1126" t="s">
        <v>87</v>
      </c>
      <c r="B1126">
        <v>21000</v>
      </c>
      <c r="C1126" t="s">
        <v>38</v>
      </c>
      <c r="D1126" s="2">
        <v>221465729</v>
      </c>
      <c r="E1126" s="2">
        <v>81147932</v>
      </c>
      <c r="F1126" s="2">
        <v>20481146</v>
      </c>
      <c r="G1126" s="2">
        <f t="shared" si="34"/>
        <v>101629078</v>
      </c>
      <c r="H1126">
        <f t="shared" si="35"/>
        <v>0.45889302357928258</v>
      </c>
    </row>
    <row r="1127" spans="1:8">
      <c r="A1127" t="s">
        <v>87</v>
      </c>
      <c r="B1127">
        <v>22000</v>
      </c>
      <c r="C1127" t="s">
        <v>39</v>
      </c>
      <c r="D1127" s="2">
        <v>453410100</v>
      </c>
      <c r="E1127" s="2">
        <v>91559912</v>
      </c>
      <c r="F1127" s="2">
        <v>24489403</v>
      </c>
      <c r="G1127" s="2">
        <f t="shared" si="34"/>
        <v>116049315</v>
      </c>
      <c r="H1127">
        <f t="shared" si="35"/>
        <v>0.25594779428160069</v>
      </c>
    </row>
    <row r="1128" spans="1:8">
      <c r="A1128" t="s">
        <v>87</v>
      </c>
      <c r="B1128">
        <v>23000</v>
      </c>
      <c r="C1128" t="s">
        <v>40</v>
      </c>
      <c r="D1128" s="2">
        <v>920884433</v>
      </c>
      <c r="E1128" s="2">
        <v>104531354</v>
      </c>
      <c r="F1128" s="2">
        <v>37742264</v>
      </c>
      <c r="G1128" s="2">
        <f t="shared" si="34"/>
        <v>142273618</v>
      </c>
      <c r="H1128">
        <f t="shared" si="35"/>
        <v>0.15449671305280932</v>
      </c>
    </row>
    <row r="1129" spans="1:8">
      <c r="A1129" t="s">
        <v>87</v>
      </c>
      <c r="B1129">
        <v>24000</v>
      </c>
      <c r="C1129" t="s">
        <v>41</v>
      </c>
      <c r="D1129" s="2">
        <v>197970903</v>
      </c>
      <c r="E1129" s="2">
        <v>66580621</v>
      </c>
      <c r="F1129" s="2">
        <v>14288329</v>
      </c>
      <c r="G1129" s="2">
        <f t="shared" si="34"/>
        <v>80868950</v>
      </c>
      <c r="H1129">
        <f t="shared" si="35"/>
        <v>0.40848906972960569</v>
      </c>
    </row>
    <row r="1130" spans="1:8">
      <c r="A1130" t="s">
        <v>87</v>
      </c>
      <c r="B1130">
        <v>25000</v>
      </c>
      <c r="C1130" t="s">
        <v>42</v>
      </c>
      <c r="D1130" s="2">
        <v>140675107</v>
      </c>
      <c r="E1130" s="2">
        <v>46578682</v>
      </c>
      <c r="F1130" s="2">
        <v>20173018</v>
      </c>
      <c r="G1130" s="2">
        <f t="shared" si="34"/>
        <v>66751700</v>
      </c>
      <c r="H1130">
        <f t="shared" si="35"/>
        <v>0.47450967995354004</v>
      </c>
    </row>
    <row r="1131" spans="1:8">
      <c r="A1131" t="s">
        <v>87</v>
      </c>
      <c r="B1131">
        <v>26000</v>
      </c>
      <c r="C1131" t="s">
        <v>43</v>
      </c>
      <c r="D1131" s="2">
        <v>275193948</v>
      </c>
      <c r="E1131" s="2">
        <v>42550793</v>
      </c>
      <c r="F1131" s="2">
        <v>14254515</v>
      </c>
      <c r="G1131" s="2">
        <f t="shared" si="34"/>
        <v>56805308</v>
      </c>
      <c r="H1131">
        <f t="shared" si="35"/>
        <v>0.20641917604961282</v>
      </c>
    </row>
    <row r="1132" spans="1:8">
      <c r="A1132" t="s">
        <v>87</v>
      </c>
      <c r="B1132">
        <v>27000</v>
      </c>
      <c r="C1132" t="s">
        <v>44</v>
      </c>
      <c r="D1132" s="2">
        <v>1097584849</v>
      </c>
      <c r="E1132" s="2">
        <v>93380766</v>
      </c>
      <c r="F1132" s="2">
        <v>49294751</v>
      </c>
      <c r="G1132" s="2">
        <f t="shared" si="34"/>
        <v>142675517</v>
      </c>
      <c r="H1132">
        <f t="shared" si="35"/>
        <v>0.12999042136012576</v>
      </c>
    </row>
    <row r="1133" spans="1:8">
      <c r="A1133" t="s">
        <v>87</v>
      </c>
      <c r="B1133">
        <v>28000</v>
      </c>
      <c r="C1133" t="s">
        <v>45</v>
      </c>
      <c r="D1133" s="2">
        <v>544033070</v>
      </c>
      <c r="E1133" s="2">
        <v>147161037</v>
      </c>
      <c r="F1133" s="2">
        <v>142710642</v>
      </c>
      <c r="G1133" s="2">
        <f t="shared" si="34"/>
        <v>289871679</v>
      </c>
      <c r="H1133">
        <f t="shared" si="35"/>
        <v>0.53281996074245996</v>
      </c>
    </row>
    <row r="1134" spans="1:8">
      <c r="A1134" t="s">
        <v>87</v>
      </c>
      <c r="B1134">
        <v>29000</v>
      </c>
      <c r="C1134" t="s">
        <v>46</v>
      </c>
      <c r="D1134" s="2">
        <v>112521640</v>
      </c>
      <c r="E1134" s="2">
        <v>39862412</v>
      </c>
      <c r="F1134" s="2">
        <v>13222035</v>
      </c>
      <c r="G1134" s="2">
        <f t="shared" si="34"/>
        <v>53084447</v>
      </c>
      <c r="H1134">
        <f t="shared" si="35"/>
        <v>0.47177100333766908</v>
      </c>
    </row>
    <row r="1135" spans="1:8">
      <c r="A1135" t="s">
        <v>87</v>
      </c>
      <c r="B1135">
        <v>30000</v>
      </c>
      <c r="C1135" t="s">
        <v>47</v>
      </c>
      <c r="D1135" s="2">
        <v>97022594</v>
      </c>
      <c r="E1135" s="2">
        <v>61797173</v>
      </c>
      <c r="F1135" s="2">
        <v>14228328</v>
      </c>
      <c r="G1135" s="2">
        <f t="shared" si="34"/>
        <v>76025501</v>
      </c>
      <c r="H1135">
        <f t="shared" si="35"/>
        <v>0.78358553266469044</v>
      </c>
    </row>
    <row r="1136" spans="1:8">
      <c r="A1136" t="s">
        <v>87</v>
      </c>
      <c r="B1136">
        <v>31000</v>
      </c>
      <c r="C1136" t="s">
        <v>48</v>
      </c>
      <c r="D1136" s="2">
        <v>52698581</v>
      </c>
      <c r="E1136" s="2">
        <v>51969906</v>
      </c>
      <c r="F1136" s="2">
        <v>15631495</v>
      </c>
      <c r="G1136" s="2">
        <f t="shared" si="34"/>
        <v>67601401</v>
      </c>
      <c r="H1136">
        <f t="shared" si="35"/>
        <v>1.2827935727529363</v>
      </c>
    </row>
    <row r="1137" spans="1:8">
      <c r="A1137" t="s">
        <v>87</v>
      </c>
      <c r="B1137">
        <v>32000</v>
      </c>
      <c r="C1137" t="s">
        <v>49</v>
      </c>
      <c r="D1137" s="2">
        <v>65035655</v>
      </c>
      <c r="E1137" s="2">
        <v>84883724</v>
      </c>
      <c r="F1137" s="2">
        <v>18355955</v>
      </c>
      <c r="G1137" s="2">
        <f t="shared" si="34"/>
        <v>103239679</v>
      </c>
      <c r="H1137">
        <f t="shared" si="35"/>
        <v>1.5874319863465665</v>
      </c>
    </row>
    <row r="1138" spans="1:8">
      <c r="A1138" t="s">
        <v>87</v>
      </c>
      <c r="B1138">
        <v>33000</v>
      </c>
      <c r="C1138" t="s">
        <v>50</v>
      </c>
      <c r="D1138" s="2">
        <v>192542714</v>
      </c>
      <c r="E1138" s="2">
        <v>67878607</v>
      </c>
      <c r="F1138" s="2">
        <v>22714957</v>
      </c>
      <c r="G1138" s="2">
        <f t="shared" si="34"/>
        <v>90593564</v>
      </c>
      <c r="H1138">
        <f t="shared" si="35"/>
        <v>0.47051151465539226</v>
      </c>
    </row>
    <row r="1139" spans="1:8">
      <c r="A1139" t="s">
        <v>87</v>
      </c>
      <c r="B1139">
        <v>34000</v>
      </c>
      <c r="C1139" t="s">
        <v>51</v>
      </c>
      <c r="D1139" s="2">
        <v>287343921</v>
      </c>
      <c r="E1139" s="2">
        <v>82421144</v>
      </c>
      <c r="F1139" s="2">
        <v>47906644</v>
      </c>
      <c r="G1139" s="2">
        <f t="shared" si="34"/>
        <v>130327788</v>
      </c>
      <c r="H1139">
        <f t="shared" si="35"/>
        <v>0.45356027559740858</v>
      </c>
    </row>
    <row r="1140" spans="1:8">
      <c r="A1140" t="s">
        <v>87</v>
      </c>
      <c r="B1140">
        <v>35000</v>
      </c>
      <c r="C1140" t="s">
        <v>52</v>
      </c>
      <c r="D1140" s="2">
        <v>150968774</v>
      </c>
      <c r="E1140" s="2">
        <v>77949321</v>
      </c>
      <c r="F1140" s="2">
        <v>20901692</v>
      </c>
      <c r="G1140" s="2">
        <f t="shared" si="34"/>
        <v>98851013</v>
      </c>
      <c r="H1140">
        <f t="shared" si="35"/>
        <v>0.65477787479416105</v>
      </c>
    </row>
    <row r="1141" spans="1:8">
      <c r="A1141" t="s">
        <v>87</v>
      </c>
      <c r="B1141">
        <v>36000</v>
      </c>
      <c r="C1141" t="s">
        <v>53</v>
      </c>
      <c r="D1141" s="2">
        <v>72909076</v>
      </c>
      <c r="E1141" s="2">
        <v>65432438</v>
      </c>
      <c r="F1141" s="2">
        <v>10973215</v>
      </c>
      <c r="G1141" s="2">
        <f t="shared" si="34"/>
        <v>76405653</v>
      </c>
      <c r="H1141">
        <f t="shared" si="35"/>
        <v>1.0479580484602493</v>
      </c>
    </row>
    <row r="1142" spans="1:8">
      <c r="A1142" t="s">
        <v>87</v>
      </c>
      <c r="B1142">
        <v>37000</v>
      </c>
      <c r="C1142" t="s">
        <v>54</v>
      </c>
      <c r="D1142" s="2">
        <v>106659016</v>
      </c>
      <c r="E1142" s="2">
        <v>33188800</v>
      </c>
      <c r="F1142" s="2">
        <v>12497010</v>
      </c>
      <c r="G1142" s="2">
        <f t="shared" si="34"/>
        <v>45685810</v>
      </c>
      <c r="H1142">
        <f t="shared" si="35"/>
        <v>0.42833519109158102</v>
      </c>
    </row>
    <row r="1143" spans="1:8">
      <c r="A1143" t="s">
        <v>87</v>
      </c>
      <c r="B1143">
        <v>38000</v>
      </c>
      <c r="C1143" t="s">
        <v>55</v>
      </c>
      <c r="D1143" s="2">
        <v>130738494</v>
      </c>
      <c r="E1143" s="2">
        <v>63217904</v>
      </c>
      <c r="F1143" s="2">
        <v>15962041</v>
      </c>
      <c r="G1143" s="2">
        <f t="shared" si="34"/>
        <v>79179945</v>
      </c>
      <c r="H1143">
        <f t="shared" si="35"/>
        <v>0.6056360493184203</v>
      </c>
    </row>
    <row r="1144" spans="1:8">
      <c r="A1144" t="s">
        <v>87</v>
      </c>
      <c r="B1144">
        <v>39000</v>
      </c>
      <c r="C1144" t="s">
        <v>56</v>
      </c>
      <c r="D1144" s="2">
        <v>59873813</v>
      </c>
      <c r="E1144" s="2">
        <v>83820749</v>
      </c>
      <c r="F1144" s="2">
        <v>15772294</v>
      </c>
      <c r="G1144" s="2">
        <f t="shared" si="34"/>
        <v>99593043</v>
      </c>
      <c r="H1144">
        <f t="shared" si="35"/>
        <v>1.6633823371162282</v>
      </c>
    </row>
    <row r="1145" spans="1:8">
      <c r="A1145" t="s">
        <v>87</v>
      </c>
      <c r="B1145">
        <v>40000</v>
      </c>
      <c r="C1145" t="s">
        <v>57</v>
      </c>
      <c r="D1145" s="2">
        <v>433791923</v>
      </c>
      <c r="E1145" s="2">
        <v>82594348</v>
      </c>
      <c r="F1145" s="2">
        <v>44166720</v>
      </c>
      <c r="G1145" s="2">
        <f t="shared" si="34"/>
        <v>126761068</v>
      </c>
      <c r="H1145">
        <f t="shared" si="35"/>
        <v>0.29221629375519748</v>
      </c>
    </row>
    <row r="1146" spans="1:8">
      <c r="A1146" t="s">
        <v>87</v>
      </c>
      <c r="B1146">
        <v>41000</v>
      </c>
      <c r="C1146" t="s">
        <v>58</v>
      </c>
      <c r="D1146" s="2">
        <v>83034559</v>
      </c>
      <c r="E1146" s="2">
        <v>69678293</v>
      </c>
      <c r="F1146" s="2">
        <v>11878317</v>
      </c>
      <c r="G1146" s="2">
        <f t="shared" si="34"/>
        <v>81556610</v>
      </c>
      <c r="H1146">
        <f t="shared" si="35"/>
        <v>0.9822007966586539</v>
      </c>
    </row>
    <row r="1147" spans="1:8">
      <c r="A1147" t="s">
        <v>87</v>
      </c>
      <c r="B1147">
        <v>42000</v>
      </c>
      <c r="C1147" t="s">
        <v>59</v>
      </c>
      <c r="D1147" s="2">
        <v>105561330</v>
      </c>
      <c r="E1147" s="2">
        <v>111023850</v>
      </c>
      <c r="F1147" s="2">
        <v>23797253</v>
      </c>
      <c r="G1147" s="2">
        <f t="shared" si="34"/>
        <v>134821103</v>
      </c>
      <c r="H1147">
        <f t="shared" si="35"/>
        <v>1.2771826861218971</v>
      </c>
    </row>
    <row r="1148" spans="1:8">
      <c r="A1148" t="s">
        <v>87</v>
      </c>
      <c r="B1148">
        <v>43000</v>
      </c>
      <c r="C1148" t="s">
        <v>60</v>
      </c>
      <c r="D1148" s="2">
        <v>138376064</v>
      </c>
      <c r="E1148" s="2">
        <v>104307685</v>
      </c>
      <c r="F1148" s="2">
        <v>22215966</v>
      </c>
      <c r="G1148" s="2">
        <f t="shared" si="34"/>
        <v>126523651</v>
      </c>
      <c r="H1148">
        <f t="shared" si="35"/>
        <v>0.91434636412262749</v>
      </c>
    </row>
    <row r="1149" spans="1:8">
      <c r="A1149" t="s">
        <v>87</v>
      </c>
      <c r="B1149">
        <v>44000</v>
      </c>
      <c r="C1149" t="s">
        <v>61</v>
      </c>
      <c r="D1149" s="2">
        <v>101965115</v>
      </c>
      <c r="E1149" s="2">
        <v>89903916</v>
      </c>
      <c r="F1149" s="2">
        <v>16169328</v>
      </c>
      <c r="G1149" s="2">
        <f t="shared" si="34"/>
        <v>106073244</v>
      </c>
      <c r="H1149">
        <f t="shared" si="35"/>
        <v>1.0402895539322443</v>
      </c>
    </row>
    <row r="1150" spans="1:8">
      <c r="A1150" t="s">
        <v>87</v>
      </c>
      <c r="B1150">
        <v>45000</v>
      </c>
      <c r="C1150" t="s">
        <v>62</v>
      </c>
      <c r="D1150" s="2">
        <v>85307893</v>
      </c>
      <c r="E1150" s="2">
        <v>82537296</v>
      </c>
      <c r="F1150" s="2">
        <v>28454333</v>
      </c>
      <c r="G1150" s="2">
        <f t="shared" si="34"/>
        <v>110991629</v>
      </c>
      <c r="H1150">
        <f t="shared" si="35"/>
        <v>1.3010710392296292</v>
      </c>
    </row>
    <row r="1151" spans="1:8">
      <c r="A1151" t="s">
        <v>87</v>
      </c>
      <c r="B1151">
        <v>46000</v>
      </c>
      <c r="C1151" t="s">
        <v>63</v>
      </c>
      <c r="D1151" s="2">
        <v>129057520</v>
      </c>
      <c r="E1151" s="2">
        <v>155244981</v>
      </c>
      <c r="F1151" s="2">
        <v>36793307</v>
      </c>
      <c r="G1151" s="2">
        <f t="shared" si="34"/>
        <v>192038288</v>
      </c>
      <c r="H1151">
        <f t="shared" si="35"/>
        <v>1.4880054103007714</v>
      </c>
    </row>
    <row r="1152" spans="1:8">
      <c r="A1152" t="s">
        <v>87</v>
      </c>
      <c r="B1152">
        <v>47000</v>
      </c>
      <c r="C1152" t="s">
        <v>64</v>
      </c>
      <c r="D1152" s="2">
        <v>72752776</v>
      </c>
      <c r="E1152" s="2">
        <v>139206375</v>
      </c>
      <c r="F1152" s="2">
        <v>21401827</v>
      </c>
      <c r="G1152" s="2">
        <f t="shared" si="34"/>
        <v>160608202</v>
      </c>
      <c r="H1152">
        <f t="shared" si="35"/>
        <v>2.2075886423907729</v>
      </c>
    </row>
    <row r="1153" spans="1:8">
      <c r="A1153" t="s">
        <v>88</v>
      </c>
      <c r="B1153" s="1" t="s">
        <v>7</v>
      </c>
      <c r="C1153" t="s">
        <v>8</v>
      </c>
      <c r="D1153" s="2">
        <v>15615901862</v>
      </c>
      <c r="E1153" s="2">
        <v>4302459681</v>
      </c>
      <c r="F1153" s="2">
        <v>1170365888</v>
      </c>
      <c r="G1153" s="2">
        <f t="shared" si="34"/>
        <v>5472825569</v>
      </c>
      <c r="H1153">
        <f t="shared" si="35"/>
        <v>0.35046490541271053</v>
      </c>
    </row>
    <row r="1154" spans="1:8">
      <c r="A1154" t="s">
        <v>88</v>
      </c>
      <c r="B1154" s="1" t="s">
        <v>9</v>
      </c>
      <c r="C1154" t="s">
        <v>10</v>
      </c>
      <c r="D1154" s="2">
        <v>520534335</v>
      </c>
      <c r="E1154" s="2">
        <v>335404459</v>
      </c>
      <c r="F1154" s="2">
        <v>81880860</v>
      </c>
      <c r="G1154" s="2">
        <f t="shared" si="34"/>
        <v>417285319</v>
      </c>
      <c r="H1154">
        <f t="shared" si="35"/>
        <v>0.80164802001005375</v>
      </c>
    </row>
    <row r="1155" spans="1:8">
      <c r="A1155" t="s">
        <v>88</v>
      </c>
      <c r="B1155" s="1" t="s">
        <v>11</v>
      </c>
      <c r="C1155" t="s">
        <v>12</v>
      </c>
      <c r="D1155" s="2">
        <v>104088354</v>
      </c>
      <c r="E1155" s="2">
        <v>99367996</v>
      </c>
      <c r="F1155" s="2">
        <v>24331301</v>
      </c>
      <c r="G1155" s="2">
        <f t="shared" ref="G1155:G1218" si="36">E1155+F1155</f>
        <v>123699297</v>
      </c>
      <c r="H1155">
        <f t="shared" ref="H1155:H1218" si="37">G1155/D1155</f>
        <v>1.1884066972564482</v>
      </c>
    </row>
    <row r="1156" spans="1:8">
      <c r="A1156" t="s">
        <v>88</v>
      </c>
      <c r="B1156" s="1" t="s">
        <v>13</v>
      </c>
      <c r="C1156" t="s">
        <v>14</v>
      </c>
      <c r="D1156" s="2">
        <v>109316215</v>
      </c>
      <c r="E1156" s="2">
        <v>107405772</v>
      </c>
      <c r="F1156" s="2">
        <v>21201844</v>
      </c>
      <c r="G1156" s="2">
        <f t="shared" si="36"/>
        <v>128607616</v>
      </c>
      <c r="H1156">
        <f t="shared" si="37"/>
        <v>1.1764733713109259</v>
      </c>
    </row>
    <row r="1157" spans="1:8">
      <c r="A1157" t="s">
        <v>88</v>
      </c>
      <c r="B1157" s="1" t="s">
        <v>15</v>
      </c>
      <c r="C1157" t="s">
        <v>16</v>
      </c>
      <c r="D1157" s="2">
        <v>234168001</v>
      </c>
      <c r="E1157" s="2">
        <v>92348574</v>
      </c>
      <c r="F1157" s="2">
        <v>20277030</v>
      </c>
      <c r="G1157" s="2">
        <f t="shared" si="36"/>
        <v>112625604</v>
      </c>
      <c r="H1157">
        <f t="shared" si="37"/>
        <v>0.48096069283181009</v>
      </c>
    </row>
    <row r="1158" spans="1:8">
      <c r="A1158" t="s">
        <v>88</v>
      </c>
      <c r="B1158" s="1" t="s">
        <v>17</v>
      </c>
      <c r="C1158" t="s">
        <v>18</v>
      </c>
      <c r="D1158" s="2">
        <v>91856115</v>
      </c>
      <c r="E1158" s="2">
        <v>91473549</v>
      </c>
      <c r="F1158" s="2">
        <v>17631403</v>
      </c>
      <c r="G1158" s="2">
        <f t="shared" si="36"/>
        <v>109104952</v>
      </c>
      <c r="H1158">
        <f t="shared" si="37"/>
        <v>1.1877810421222366</v>
      </c>
    </row>
    <row r="1159" spans="1:8">
      <c r="A1159" t="s">
        <v>88</v>
      </c>
      <c r="B1159" s="1" t="s">
        <v>19</v>
      </c>
      <c r="C1159" t="s">
        <v>20</v>
      </c>
      <c r="D1159" s="2">
        <v>100707688</v>
      </c>
      <c r="E1159" s="2">
        <v>84669774</v>
      </c>
      <c r="F1159" s="2">
        <v>18885038</v>
      </c>
      <c r="G1159" s="2">
        <f t="shared" si="36"/>
        <v>103554812</v>
      </c>
      <c r="H1159">
        <f t="shared" si="37"/>
        <v>1.0282711683342387</v>
      </c>
    </row>
    <row r="1160" spans="1:8">
      <c r="A1160" t="s">
        <v>88</v>
      </c>
      <c r="B1160" s="1" t="s">
        <v>21</v>
      </c>
      <c r="C1160" t="s">
        <v>22</v>
      </c>
      <c r="D1160" s="2">
        <v>211950603</v>
      </c>
      <c r="E1160" s="2">
        <v>111373021</v>
      </c>
      <c r="F1160" s="2">
        <v>25532130</v>
      </c>
      <c r="G1160" s="2">
        <f t="shared" si="36"/>
        <v>136905151</v>
      </c>
      <c r="H1160">
        <f t="shared" si="37"/>
        <v>0.64592951877565552</v>
      </c>
    </row>
    <row r="1161" spans="1:8">
      <c r="A1161" t="s">
        <v>88</v>
      </c>
      <c r="B1161" s="1" t="s">
        <v>23</v>
      </c>
      <c r="C1161" t="s">
        <v>24</v>
      </c>
      <c r="D1161" s="2">
        <v>312240215</v>
      </c>
      <c r="E1161" s="2">
        <v>79514623</v>
      </c>
      <c r="F1161" s="2">
        <v>27691783</v>
      </c>
      <c r="G1161" s="2">
        <f t="shared" si="36"/>
        <v>107206406</v>
      </c>
      <c r="H1161">
        <f t="shared" si="37"/>
        <v>0.34334592678909087</v>
      </c>
    </row>
    <row r="1162" spans="1:8">
      <c r="A1162" t="s">
        <v>88</v>
      </c>
      <c r="B1162" s="1" t="s">
        <v>25</v>
      </c>
      <c r="C1162" t="s">
        <v>26</v>
      </c>
      <c r="D1162" s="2">
        <v>218824889</v>
      </c>
      <c r="E1162" s="2">
        <v>60124486</v>
      </c>
      <c r="F1162" s="2">
        <v>17771532</v>
      </c>
      <c r="G1162" s="2">
        <f t="shared" si="36"/>
        <v>77896018</v>
      </c>
      <c r="H1162">
        <f t="shared" si="37"/>
        <v>0.35597421461504775</v>
      </c>
    </row>
    <row r="1163" spans="1:8">
      <c r="A1163" t="s">
        <v>88</v>
      </c>
      <c r="B1163">
        <v>10000</v>
      </c>
      <c r="C1163" t="s">
        <v>27</v>
      </c>
      <c r="D1163" s="2">
        <v>212100693</v>
      </c>
      <c r="E1163" s="2">
        <v>72585390</v>
      </c>
      <c r="F1163" s="2">
        <v>20705606</v>
      </c>
      <c r="G1163" s="2">
        <f t="shared" si="36"/>
        <v>93290996</v>
      </c>
      <c r="H1163">
        <f t="shared" si="37"/>
        <v>0.43984295704304938</v>
      </c>
    </row>
    <row r="1164" spans="1:8">
      <c r="A1164" t="s">
        <v>88</v>
      </c>
      <c r="B1164">
        <v>11000</v>
      </c>
      <c r="C1164" t="s">
        <v>28</v>
      </c>
      <c r="D1164" s="2">
        <v>628566892</v>
      </c>
      <c r="E1164" s="2">
        <v>83110646</v>
      </c>
      <c r="F1164" s="2">
        <v>35338311</v>
      </c>
      <c r="G1164" s="2">
        <f t="shared" si="36"/>
        <v>118448957</v>
      </c>
      <c r="H1164">
        <f t="shared" si="37"/>
        <v>0.18844288254367683</v>
      </c>
    </row>
    <row r="1165" spans="1:8">
      <c r="A1165" t="s">
        <v>88</v>
      </c>
      <c r="B1165">
        <v>12000</v>
      </c>
      <c r="C1165" t="s">
        <v>29</v>
      </c>
      <c r="D1165" s="2">
        <v>565227862</v>
      </c>
      <c r="E1165" s="2">
        <v>83740517</v>
      </c>
      <c r="F1165" s="2">
        <v>35625205</v>
      </c>
      <c r="G1165" s="2">
        <f t="shared" si="36"/>
        <v>119365722</v>
      </c>
      <c r="H1165">
        <f t="shared" si="37"/>
        <v>0.21118159599853553</v>
      </c>
    </row>
    <row r="1166" spans="1:8">
      <c r="A1166" t="s">
        <v>88</v>
      </c>
      <c r="B1166">
        <v>13000</v>
      </c>
      <c r="C1166" t="s">
        <v>30</v>
      </c>
      <c r="D1166" s="2">
        <v>4057162283</v>
      </c>
      <c r="E1166" s="2">
        <v>185897424</v>
      </c>
      <c r="F1166" s="2">
        <v>60529264</v>
      </c>
      <c r="G1166" s="2">
        <f t="shared" si="36"/>
        <v>246426688</v>
      </c>
      <c r="H1166">
        <f t="shared" si="37"/>
        <v>6.0738681573709187E-2</v>
      </c>
    </row>
    <row r="1167" spans="1:8">
      <c r="A1167" t="s">
        <v>88</v>
      </c>
      <c r="B1167">
        <v>14000</v>
      </c>
      <c r="C1167" t="s">
        <v>31</v>
      </c>
      <c r="D1167" s="2">
        <v>921001025</v>
      </c>
      <c r="E1167" s="2">
        <v>55279728</v>
      </c>
      <c r="F1167" s="2">
        <v>30560401</v>
      </c>
      <c r="G1167" s="2">
        <f t="shared" si="36"/>
        <v>85840129</v>
      </c>
      <c r="H1167">
        <f t="shared" si="37"/>
        <v>9.3203076511234065E-2</v>
      </c>
    </row>
    <row r="1168" spans="1:8">
      <c r="A1168" t="s">
        <v>88</v>
      </c>
      <c r="B1168">
        <v>15000</v>
      </c>
      <c r="C1168" t="s">
        <v>32</v>
      </c>
      <c r="D1168" s="2">
        <v>253877205</v>
      </c>
      <c r="E1168" s="2">
        <v>182085885</v>
      </c>
      <c r="F1168" s="2">
        <v>29416623</v>
      </c>
      <c r="G1168" s="2">
        <f t="shared" si="36"/>
        <v>211502508</v>
      </c>
      <c r="H1168">
        <f t="shared" si="37"/>
        <v>0.83308979236635283</v>
      </c>
    </row>
    <row r="1169" spans="1:8">
      <c r="A1169" t="s">
        <v>88</v>
      </c>
      <c r="B1169">
        <v>16000</v>
      </c>
      <c r="C1169" t="s">
        <v>33</v>
      </c>
      <c r="D1169" s="2">
        <v>126119018</v>
      </c>
      <c r="E1169" s="2">
        <v>65724538</v>
      </c>
      <c r="F1169" s="2">
        <v>15707085</v>
      </c>
      <c r="G1169" s="2">
        <f t="shared" si="36"/>
        <v>81431623</v>
      </c>
      <c r="H1169">
        <f t="shared" si="37"/>
        <v>0.64567282786803815</v>
      </c>
    </row>
    <row r="1170" spans="1:8">
      <c r="A1170" t="s">
        <v>88</v>
      </c>
      <c r="B1170">
        <v>17000</v>
      </c>
      <c r="C1170" t="s">
        <v>34</v>
      </c>
      <c r="D1170" s="2">
        <v>128986625</v>
      </c>
      <c r="E1170" s="2">
        <v>63396177</v>
      </c>
      <c r="F1170" s="2">
        <v>15566642</v>
      </c>
      <c r="G1170" s="2">
        <f t="shared" si="36"/>
        <v>78962819</v>
      </c>
      <c r="H1170">
        <f t="shared" si="37"/>
        <v>0.61217834794886683</v>
      </c>
    </row>
    <row r="1171" spans="1:8">
      <c r="A1171" t="s">
        <v>88</v>
      </c>
      <c r="B1171">
        <v>18000</v>
      </c>
      <c r="C1171" t="s">
        <v>35</v>
      </c>
      <c r="D1171" s="2">
        <v>108167862</v>
      </c>
      <c r="E1171" s="2">
        <v>63120920</v>
      </c>
      <c r="F1171" s="2">
        <v>14496266</v>
      </c>
      <c r="G1171" s="2">
        <f t="shared" si="36"/>
        <v>77617186</v>
      </c>
      <c r="H1171">
        <f t="shared" si="37"/>
        <v>0.7175623569226135</v>
      </c>
    </row>
    <row r="1172" spans="1:8">
      <c r="A1172" t="s">
        <v>88</v>
      </c>
      <c r="B1172">
        <v>19000</v>
      </c>
      <c r="C1172" t="s">
        <v>36</v>
      </c>
      <c r="D1172" s="2">
        <v>87908931</v>
      </c>
      <c r="E1172" s="2">
        <v>66988131</v>
      </c>
      <c r="F1172" s="2">
        <v>7468073</v>
      </c>
      <c r="G1172" s="2">
        <f t="shared" si="36"/>
        <v>74456204</v>
      </c>
      <c r="H1172">
        <f t="shared" si="37"/>
        <v>0.84696973507731543</v>
      </c>
    </row>
    <row r="1173" spans="1:8">
      <c r="A1173" t="s">
        <v>88</v>
      </c>
      <c r="B1173">
        <v>20000</v>
      </c>
      <c r="C1173" t="s">
        <v>37</v>
      </c>
      <c r="D1173" s="2">
        <v>226599414</v>
      </c>
      <c r="E1173" s="2">
        <v>116730666</v>
      </c>
      <c r="F1173" s="2">
        <v>32337726</v>
      </c>
      <c r="G1173" s="2">
        <f t="shared" si="36"/>
        <v>149068392</v>
      </c>
      <c r="H1173">
        <f t="shared" si="37"/>
        <v>0.65784985657553374</v>
      </c>
    </row>
    <row r="1174" spans="1:8">
      <c r="A1174" t="s">
        <v>88</v>
      </c>
      <c r="B1174">
        <v>21000</v>
      </c>
      <c r="C1174" t="s">
        <v>38</v>
      </c>
      <c r="D1174" s="2">
        <v>220119958</v>
      </c>
      <c r="E1174" s="2">
        <v>85222171</v>
      </c>
      <c r="F1174" s="2">
        <v>20805459</v>
      </c>
      <c r="G1174" s="2">
        <f t="shared" si="36"/>
        <v>106027630</v>
      </c>
      <c r="H1174">
        <f t="shared" si="37"/>
        <v>0.48168112952302128</v>
      </c>
    </row>
    <row r="1175" spans="1:8">
      <c r="A1175" t="s">
        <v>88</v>
      </c>
      <c r="B1175">
        <v>22000</v>
      </c>
      <c r="C1175" t="s">
        <v>39</v>
      </c>
      <c r="D1175" s="2">
        <v>449528274</v>
      </c>
      <c r="E1175" s="2">
        <v>89538518</v>
      </c>
      <c r="F1175" s="2">
        <v>23808628</v>
      </c>
      <c r="G1175" s="2">
        <f t="shared" si="36"/>
        <v>113347146</v>
      </c>
      <c r="H1175">
        <f t="shared" si="37"/>
        <v>0.25214686718459894</v>
      </c>
    </row>
    <row r="1176" spans="1:8">
      <c r="A1176" t="s">
        <v>88</v>
      </c>
      <c r="B1176">
        <v>23000</v>
      </c>
      <c r="C1176" t="s">
        <v>40</v>
      </c>
      <c r="D1176" s="2">
        <v>955176976</v>
      </c>
      <c r="E1176" s="2">
        <v>109000921</v>
      </c>
      <c r="F1176" s="2">
        <v>38355778</v>
      </c>
      <c r="G1176" s="2">
        <f t="shared" si="36"/>
        <v>147356699</v>
      </c>
      <c r="H1176">
        <f t="shared" si="37"/>
        <v>0.15427161950352539</v>
      </c>
    </row>
    <row r="1177" spans="1:8">
      <c r="A1177" t="s">
        <v>88</v>
      </c>
      <c r="B1177">
        <v>24000</v>
      </c>
      <c r="C1177" t="s">
        <v>41</v>
      </c>
      <c r="D1177" s="2">
        <v>194891368</v>
      </c>
      <c r="E1177" s="2">
        <v>65217630</v>
      </c>
      <c r="F1177" s="2">
        <v>14668589</v>
      </c>
      <c r="G1177" s="2">
        <f t="shared" si="36"/>
        <v>79886219</v>
      </c>
      <c r="H1177">
        <f t="shared" si="37"/>
        <v>0.40990126869036086</v>
      </c>
    </row>
    <row r="1178" spans="1:8">
      <c r="A1178" t="s">
        <v>88</v>
      </c>
      <c r="B1178">
        <v>25000</v>
      </c>
      <c r="C1178" t="s">
        <v>42</v>
      </c>
      <c r="D1178" s="2">
        <v>139818315</v>
      </c>
      <c r="E1178" s="2">
        <v>46308400</v>
      </c>
      <c r="F1178" s="2">
        <v>20154478</v>
      </c>
      <c r="G1178" s="2">
        <f t="shared" si="36"/>
        <v>66462878</v>
      </c>
      <c r="H1178">
        <f t="shared" si="37"/>
        <v>0.47535173056548419</v>
      </c>
    </row>
    <row r="1179" spans="1:8">
      <c r="A1179" t="s">
        <v>88</v>
      </c>
      <c r="B1179">
        <v>26000</v>
      </c>
      <c r="C1179" t="s">
        <v>43</v>
      </c>
      <c r="D1179" s="2">
        <v>280023251</v>
      </c>
      <c r="E1179" s="2">
        <v>46619385</v>
      </c>
      <c r="F1179" s="2">
        <v>15263175</v>
      </c>
      <c r="G1179" s="2">
        <f t="shared" si="36"/>
        <v>61882560</v>
      </c>
      <c r="H1179">
        <f t="shared" si="37"/>
        <v>0.22099079193963075</v>
      </c>
    </row>
    <row r="1180" spans="1:8">
      <c r="A1180" t="s">
        <v>88</v>
      </c>
      <c r="B1180">
        <v>27000</v>
      </c>
      <c r="C1180" t="s">
        <v>44</v>
      </c>
      <c r="D1180" s="2">
        <v>1136940327</v>
      </c>
      <c r="E1180" s="2">
        <v>113049869</v>
      </c>
      <c r="F1180" s="2">
        <v>48221440</v>
      </c>
      <c r="G1180" s="2">
        <f t="shared" si="36"/>
        <v>161271309</v>
      </c>
      <c r="H1180">
        <f t="shared" si="37"/>
        <v>0.14184676642224514</v>
      </c>
    </row>
    <row r="1181" spans="1:8">
      <c r="A1181" t="s">
        <v>88</v>
      </c>
      <c r="B1181">
        <v>28000</v>
      </c>
      <c r="C1181" t="s">
        <v>45</v>
      </c>
      <c r="D1181" s="2">
        <v>573778774</v>
      </c>
      <c r="E1181" s="2">
        <v>120362943</v>
      </c>
      <c r="F1181" s="2">
        <v>37762727</v>
      </c>
      <c r="G1181" s="2">
        <f t="shared" si="36"/>
        <v>158125670</v>
      </c>
      <c r="H1181">
        <f t="shared" si="37"/>
        <v>0.27558647542441156</v>
      </c>
    </row>
    <row r="1182" spans="1:8">
      <c r="A1182" t="s">
        <v>88</v>
      </c>
      <c r="B1182">
        <v>29000</v>
      </c>
      <c r="C1182" t="s">
        <v>46</v>
      </c>
      <c r="D1182" s="2">
        <v>115038776</v>
      </c>
      <c r="E1182" s="2">
        <v>42052229</v>
      </c>
      <c r="F1182" s="2">
        <v>12180393</v>
      </c>
      <c r="G1182" s="2">
        <f t="shared" si="36"/>
        <v>54232622</v>
      </c>
      <c r="H1182">
        <f t="shared" si="37"/>
        <v>0.47142905971113602</v>
      </c>
    </row>
    <row r="1183" spans="1:8">
      <c r="A1183" t="s">
        <v>88</v>
      </c>
      <c r="B1183">
        <v>30000</v>
      </c>
      <c r="C1183" t="s">
        <v>47</v>
      </c>
      <c r="D1183" s="2">
        <v>94087504</v>
      </c>
      <c r="E1183" s="2">
        <v>60110264</v>
      </c>
      <c r="F1183" s="2">
        <v>13329060</v>
      </c>
      <c r="G1183" s="2">
        <f t="shared" si="36"/>
        <v>73439324</v>
      </c>
      <c r="H1183">
        <f t="shared" si="37"/>
        <v>0.78054280194317838</v>
      </c>
    </row>
    <row r="1184" spans="1:8">
      <c r="A1184" t="s">
        <v>88</v>
      </c>
      <c r="B1184">
        <v>31000</v>
      </c>
      <c r="C1184" t="s">
        <v>48</v>
      </c>
      <c r="D1184" s="2">
        <v>48563926</v>
      </c>
      <c r="E1184" s="2">
        <v>49665587</v>
      </c>
      <c r="F1184" s="2">
        <v>14355158</v>
      </c>
      <c r="G1184" s="2">
        <f t="shared" si="36"/>
        <v>64020745</v>
      </c>
      <c r="H1184">
        <f t="shared" si="37"/>
        <v>1.3182777891556789</v>
      </c>
    </row>
    <row r="1185" spans="1:8">
      <c r="A1185" t="s">
        <v>88</v>
      </c>
      <c r="B1185">
        <v>32000</v>
      </c>
      <c r="C1185" t="s">
        <v>49</v>
      </c>
      <c r="D1185" s="2">
        <v>61476802</v>
      </c>
      <c r="E1185" s="2">
        <v>83678059</v>
      </c>
      <c r="F1185" s="2">
        <v>18228644</v>
      </c>
      <c r="G1185" s="2">
        <f t="shared" si="36"/>
        <v>101906703</v>
      </c>
      <c r="H1185">
        <f t="shared" si="37"/>
        <v>1.6576448299961992</v>
      </c>
    </row>
    <row r="1186" spans="1:8">
      <c r="A1186" t="s">
        <v>88</v>
      </c>
      <c r="B1186">
        <v>33000</v>
      </c>
      <c r="C1186" t="s">
        <v>50</v>
      </c>
      <c r="D1186" s="2">
        <v>192503992</v>
      </c>
      <c r="E1186" s="2">
        <v>65503648</v>
      </c>
      <c r="F1186" s="2">
        <v>22032129</v>
      </c>
      <c r="G1186" s="2">
        <f t="shared" si="36"/>
        <v>87535777</v>
      </c>
      <c r="H1186">
        <f t="shared" si="37"/>
        <v>0.45472187922212026</v>
      </c>
    </row>
    <row r="1187" spans="1:8">
      <c r="A1187" t="s">
        <v>88</v>
      </c>
      <c r="B1187">
        <v>34000</v>
      </c>
      <c r="C1187" t="s">
        <v>51</v>
      </c>
      <c r="D1187" s="2">
        <v>292967332</v>
      </c>
      <c r="E1187" s="2">
        <v>83169581</v>
      </c>
      <c r="F1187" s="2">
        <v>45821790</v>
      </c>
      <c r="G1187" s="2">
        <f t="shared" si="36"/>
        <v>128991371</v>
      </c>
      <c r="H1187">
        <f t="shared" si="37"/>
        <v>0.4402926774101899</v>
      </c>
    </row>
    <row r="1188" spans="1:8">
      <c r="A1188" t="s">
        <v>88</v>
      </c>
      <c r="B1188">
        <v>35000</v>
      </c>
      <c r="C1188" t="s">
        <v>52</v>
      </c>
      <c r="D1188" s="2">
        <v>150462806</v>
      </c>
      <c r="E1188" s="2">
        <v>76592765</v>
      </c>
      <c r="F1188" s="2">
        <v>20017135</v>
      </c>
      <c r="G1188" s="2">
        <f t="shared" si="36"/>
        <v>96609900</v>
      </c>
      <c r="H1188">
        <f t="shared" si="37"/>
        <v>0.64208492828453567</v>
      </c>
    </row>
    <row r="1189" spans="1:8">
      <c r="A1189" t="s">
        <v>88</v>
      </c>
      <c r="B1189">
        <v>36000</v>
      </c>
      <c r="C1189" t="s">
        <v>53</v>
      </c>
      <c r="D1189" s="2">
        <v>68752905</v>
      </c>
      <c r="E1189" s="2">
        <v>59658575</v>
      </c>
      <c r="F1189" s="2">
        <v>11590696</v>
      </c>
      <c r="G1189" s="2">
        <f t="shared" si="36"/>
        <v>71249271</v>
      </c>
      <c r="H1189">
        <f t="shared" si="37"/>
        <v>1.0363092439512192</v>
      </c>
    </row>
    <row r="1190" spans="1:8">
      <c r="A1190" t="s">
        <v>88</v>
      </c>
      <c r="B1190">
        <v>37000</v>
      </c>
      <c r="C1190" t="s">
        <v>54</v>
      </c>
      <c r="D1190" s="2">
        <v>106374526</v>
      </c>
      <c r="E1190" s="2">
        <v>33014217</v>
      </c>
      <c r="F1190" s="2">
        <v>12369215</v>
      </c>
      <c r="G1190" s="2">
        <f t="shared" si="36"/>
        <v>45383432</v>
      </c>
      <c r="H1190">
        <f t="shared" si="37"/>
        <v>0.42663815959095319</v>
      </c>
    </row>
    <row r="1191" spans="1:8">
      <c r="A1191" t="s">
        <v>88</v>
      </c>
      <c r="B1191">
        <v>38000</v>
      </c>
      <c r="C1191" t="s">
        <v>55</v>
      </c>
      <c r="D1191" s="2">
        <v>125347186</v>
      </c>
      <c r="E1191" s="2">
        <v>71877305</v>
      </c>
      <c r="F1191" s="2">
        <v>16007684</v>
      </c>
      <c r="G1191" s="2">
        <f t="shared" si="36"/>
        <v>87884989</v>
      </c>
      <c r="H1191">
        <f t="shared" si="37"/>
        <v>0.70113252482588639</v>
      </c>
    </row>
    <row r="1192" spans="1:8">
      <c r="A1192" t="s">
        <v>88</v>
      </c>
      <c r="B1192">
        <v>39000</v>
      </c>
      <c r="C1192" t="s">
        <v>56</v>
      </c>
      <c r="D1192" s="2">
        <v>58985535</v>
      </c>
      <c r="E1192" s="2">
        <v>78248205</v>
      </c>
      <c r="F1192" s="2">
        <v>15121096</v>
      </c>
      <c r="G1192" s="2">
        <f t="shared" si="36"/>
        <v>93369301</v>
      </c>
      <c r="H1192">
        <f t="shared" si="37"/>
        <v>1.582918608774168</v>
      </c>
    </row>
    <row r="1193" spans="1:8">
      <c r="A1193" t="s">
        <v>88</v>
      </c>
      <c r="B1193">
        <v>40000</v>
      </c>
      <c r="C1193" t="s">
        <v>57</v>
      </c>
      <c r="D1193" s="2">
        <v>436330405</v>
      </c>
      <c r="E1193" s="2">
        <v>86193703</v>
      </c>
      <c r="F1193" s="2">
        <v>41486302</v>
      </c>
      <c r="G1193" s="2">
        <f t="shared" si="36"/>
        <v>127680005</v>
      </c>
      <c r="H1193">
        <f t="shared" si="37"/>
        <v>0.29262229617026114</v>
      </c>
    </row>
    <row r="1194" spans="1:8">
      <c r="A1194" t="s">
        <v>88</v>
      </c>
      <c r="B1194">
        <v>41000</v>
      </c>
      <c r="C1194" t="s">
        <v>58</v>
      </c>
      <c r="D1194" s="2">
        <v>73993925</v>
      </c>
      <c r="E1194" s="2">
        <v>63537933</v>
      </c>
      <c r="F1194" s="2">
        <v>12809811</v>
      </c>
      <c r="G1194" s="2">
        <f t="shared" si="36"/>
        <v>76347744</v>
      </c>
      <c r="H1194">
        <f t="shared" si="37"/>
        <v>1.0318109763740739</v>
      </c>
    </row>
    <row r="1195" spans="1:8">
      <c r="A1195" t="s">
        <v>88</v>
      </c>
      <c r="B1195">
        <v>42000</v>
      </c>
      <c r="C1195" t="s">
        <v>59</v>
      </c>
      <c r="D1195" s="2">
        <v>109534838</v>
      </c>
      <c r="E1195" s="2">
        <v>113295736</v>
      </c>
      <c r="F1195" s="2">
        <v>24423808</v>
      </c>
      <c r="G1195" s="2">
        <f t="shared" si="36"/>
        <v>137719544</v>
      </c>
      <c r="H1195">
        <f t="shared" si="37"/>
        <v>1.2573127099526089</v>
      </c>
    </row>
    <row r="1196" spans="1:8">
      <c r="A1196" t="s">
        <v>88</v>
      </c>
      <c r="B1196">
        <v>43000</v>
      </c>
      <c r="C1196" t="s">
        <v>60</v>
      </c>
      <c r="D1196" s="2">
        <v>136433659</v>
      </c>
      <c r="E1196" s="2">
        <v>107538697</v>
      </c>
      <c r="F1196" s="2">
        <v>20753223</v>
      </c>
      <c r="G1196" s="2">
        <f t="shared" si="36"/>
        <v>128291920</v>
      </c>
      <c r="H1196">
        <f t="shared" si="37"/>
        <v>0.94032455730004283</v>
      </c>
    </row>
    <row r="1197" spans="1:8">
      <c r="A1197" t="s">
        <v>88</v>
      </c>
      <c r="B1197">
        <v>44000</v>
      </c>
      <c r="C1197" t="s">
        <v>61</v>
      </c>
      <c r="D1197" s="2">
        <v>100272142</v>
      </c>
      <c r="E1197" s="2">
        <v>91232062</v>
      </c>
      <c r="F1197" s="2">
        <v>18101398</v>
      </c>
      <c r="G1197" s="2">
        <f t="shared" si="36"/>
        <v>109333460</v>
      </c>
      <c r="H1197">
        <f t="shared" si="37"/>
        <v>1.0903672527510184</v>
      </c>
    </row>
    <row r="1198" spans="1:8">
      <c r="A1198" t="s">
        <v>88</v>
      </c>
      <c r="B1198">
        <v>45000</v>
      </c>
      <c r="C1198" t="s">
        <v>62</v>
      </c>
      <c r="D1198" s="2">
        <v>81540767</v>
      </c>
      <c r="E1198" s="2">
        <v>79366551</v>
      </c>
      <c r="F1198" s="2">
        <v>26104120</v>
      </c>
      <c r="G1198" s="2">
        <f t="shared" si="36"/>
        <v>105470671</v>
      </c>
      <c r="H1198">
        <f t="shared" si="37"/>
        <v>1.293471656944311</v>
      </c>
    </row>
    <row r="1199" spans="1:8">
      <c r="A1199" t="s">
        <v>88</v>
      </c>
      <c r="B1199">
        <v>46000</v>
      </c>
      <c r="C1199" t="s">
        <v>63</v>
      </c>
      <c r="D1199" s="2">
        <v>120036944</v>
      </c>
      <c r="E1199" s="2">
        <v>145304779</v>
      </c>
      <c r="F1199" s="2">
        <v>32603380</v>
      </c>
      <c r="G1199" s="2">
        <f t="shared" si="36"/>
        <v>177908159</v>
      </c>
      <c r="H1199">
        <f t="shared" si="37"/>
        <v>1.4821116988783054</v>
      </c>
    </row>
    <row r="1200" spans="1:8">
      <c r="A1200" t="s">
        <v>88</v>
      </c>
      <c r="B1200">
        <v>47000</v>
      </c>
      <c r="C1200" t="s">
        <v>64</v>
      </c>
      <c r="D1200" s="2">
        <v>73516424</v>
      </c>
      <c r="E1200" s="2">
        <v>136757672</v>
      </c>
      <c r="F1200" s="2">
        <v>21036449</v>
      </c>
      <c r="G1200" s="2">
        <f t="shared" si="36"/>
        <v>157794121</v>
      </c>
      <c r="H1200">
        <f t="shared" si="37"/>
        <v>2.1463791682794584</v>
      </c>
    </row>
    <row r="1201" spans="1:8">
      <c r="A1201" t="s">
        <v>89</v>
      </c>
      <c r="B1201" s="1" t="s">
        <v>7</v>
      </c>
      <c r="C1201" t="s">
        <v>8</v>
      </c>
      <c r="D1201" s="2">
        <v>16626811342</v>
      </c>
      <c r="E1201" s="2">
        <v>3781016738</v>
      </c>
      <c r="F1201" s="2">
        <v>1161844055</v>
      </c>
      <c r="G1201" s="2">
        <f t="shared" si="36"/>
        <v>4942860793</v>
      </c>
      <c r="H1201">
        <f t="shared" si="37"/>
        <v>0.29728254512121233</v>
      </c>
    </row>
    <row r="1202" spans="1:8">
      <c r="A1202" t="s">
        <v>89</v>
      </c>
      <c r="B1202" s="1" t="s">
        <v>9</v>
      </c>
      <c r="C1202" t="s">
        <v>10</v>
      </c>
      <c r="D1202" s="2">
        <v>537604383</v>
      </c>
      <c r="E1202" s="2">
        <v>315183229</v>
      </c>
      <c r="F1202" s="2">
        <v>80970748</v>
      </c>
      <c r="G1202" s="2">
        <f t="shared" si="36"/>
        <v>396153977</v>
      </c>
      <c r="H1202">
        <f t="shared" si="37"/>
        <v>0.7368875506359106</v>
      </c>
    </row>
    <row r="1203" spans="1:8">
      <c r="A1203" t="s">
        <v>89</v>
      </c>
      <c r="B1203" s="1" t="s">
        <v>11</v>
      </c>
      <c r="C1203" t="s">
        <v>12</v>
      </c>
      <c r="D1203" s="2">
        <v>103766213</v>
      </c>
      <c r="E1203" s="2">
        <v>86658090</v>
      </c>
      <c r="F1203" s="2">
        <v>22343291</v>
      </c>
      <c r="G1203" s="2">
        <f t="shared" si="36"/>
        <v>109001381</v>
      </c>
      <c r="H1203">
        <f t="shared" si="37"/>
        <v>1.0504515665421845</v>
      </c>
    </row>
    <row r="1204" spans="1:8">
      <c r="A1204" t="s">
        <v>89</v>
      </c>
      <c r="B1204" s="1" t="s">
        <v>13</v>
      </c>
      <c r="C1204" t="s">
        <v>14</v>
      </c>
      <c r="D1204" s="2">
        <v>109110327</v>
      </c>
      <c r="E1204" s="2">
        <v>95777119</v>
      </c>
      <c r="F1204" s="2">
        <v>20328734</v>
      </c>
      <c r="G1204" s="2">
        <f t="shared" si="36"/>
        <v>116105853</v>
      </c>
      <c r="H1204">
        <f t="shared" si="37"/>
        <v>1.0641142428250627</v>
      </c>
    </row>
    <row r="1205" spans="1:8">
      <c r="A1205" t="s">
        <v>89</v>
      </c>
      <c r="B1205" s="1" t="s">
        <v>15</v>
      </c>
      <c r="C1205" t="s">
        <v>16</v>
      </c>
      <c r="D1205" s="2">
        <v>236441777</v>
      </c>
      <c r="E1205" s="2">
        <v>81746996</v>
      </c>
      <c r="F1205" s="2">
        <v>20017964</v>
      </c>
      <c r="G1205" s="2">
        <f t="shared" si="36"/>
        <v>101764960</v>
      </c>
      <c r="H1205">
        <f t="shared" si="37"/>
        <v>0.43040177286436143</v>
      </c>
    </row>
    <row r="1206" spans="1:8">
      <c r="A1206" t="s">
        <v>89</v>
      </c>
      <c r="B1206" s="1" t="s">
        <v>17</v>
      </c>
      <c r="C1206" t="s">
        <v>18</v>
      </c>
      <c r="D1206" s="2">
        <v>91698888</v>
      </c>
      <c r="E1206" s="2">
        <v>80727633</v>
      </c>
      <c r="F1206" s="2">
        <v>18155235</v>
      </c>
      <c r="G1206" s="2">
        <f t="shared" si="36"/>
        <v>98882868</v>
      </c>
      <c r="H1206">
        <f t="shared" si="37"/>
        <v>1.078343152863533</v>
      </c>
    </row>
    <row r="1207" spans="1:8">
      <c r="A1207" t="s">
        <v>89</v>
      </c>
      <c r="B1207" s="1" t="s">
        <v>19</v>
      </c>
      <c r="C1207" t="s">
        <v>20</v>
      </c>
      <c r="D1207" s="2">
        <v>102177802</v>
      </c>
      <c r="E1207" s="2">
        <v>78770179</v>
      </c>
      <c r="F1207" s="2">
        <v>18994925</v>
      </c>
      <c r="G1207" s="2">
        <f t="shared" si="36"/>
        <v>97765104</v>
      </c>
      <c r="H1207">
        <f t="shared" si="37"/>
        <v>0.9568135356836116</v>
      </c>
    </row>
    <row r="1208" spans="1:8">
      <c r="A1208" t="s">
        <v>89</v>
      </c>
      <c r="B1208" s="1" t="s">
        <v>21</v>
      </c>
      <c r="C1208" t="s">
        <v>22</v>
      </c>
      <c r="D1208" s="2">
        <v>217731267</v>
      </c>
      <c r="E1208" s="2">
        <v>97013421</v>
      </c>
      <c r="F1208" s="2">
        <v>26704127</v>
      </c>
      <c r="G1208" s="2">
        <f t="shared" si="36"/>
        <v>123717548</v>
      </c>
      <c r="H1208">
        <f t="shared" si="37"/>
        <v>0.56821213464026732</v>
      </c>
    </row>
    <row r="1209" spans="1:8">
      <c r="A1209" t="s">
        <v>89</v>
      </c>
      <c r="B1209" s="1" t="s">
        <v>23</v>
      </c>
      <c r="C1209" t="s">
        <v>24</v>
      </c>
      <c r="D1209" s="2">
        <v>325461123</v>
      </c>
      <c r="E1209" s="2">
        <v>69341502</v>
      </c>
      <c r="F1209" s="2">
        <v>27708909</v>
      </c>
      <c r="G1209" s="2">
        <f t="shared" si="36"/>
        <v>97050411</v>
      </c>
      <c r="H1209">
        <f t="shared" si="37"/>
        <v>0.29819356027970195</v>
      </c>
    </row>
    <row r="1210" spans="1:8">
      <c r="A1210" t="s">
        <v>89</v>
      </c>
      <c r="B1210" s="1" t="s">
        <v>25</v>
      </c>
      <c r="C1210" t="s">
        <v>26</v>
      </c>
      <c r="D1210" s="2">
        <v>237929631</v>
      </c>
      <c r="E1210" s="2">
        <v>55491973</v>
      </c>
      <c r="F1210" s="2">
        <v>17840571</v>
      </c>
      <c r="G1210" s="2">
        <f t="shared" si="36"/>
        <v>73332544</v>
      </c>
      <c r="H1210">
        <f t="shared" si="37"/>
        <v>0.30821106094179584</v>
      </c>
    </row>
    <row r="1211" spans="1:8">
      <c r="A1211" t="s">
        <v>89</v>
      </c>
      <c r="B1211">
        <v>10000</v>
      </c>
      <c r="C1211" t="s">
        <v>27</v>
      </c>
      <c r="D1211" s="2">
        <v>226968926</v>
      </c>
      <c r="E1211" s="2">
        <v>64140614</v>
      </c>
      <c r="F1211" s="2">
        <v>21840597</v>
      </c>
      <c r="G1211" s="2">
        <f t="shared" si="36"/>
        <v>85981211</v>
      </c>
      <c r="H1211">
        <f t="shared" si="37"/>
        <v>0.37882371175338775</v>
      </c>
    </row>
    <row r="1212" spans="1:8">
      <c r="A1212" t="s">
        <v>89</v>
      </c>
      <c r="B1212">
        <v>11000</v>
      </c>
      <c r="C1212" t="s">
        <v>28</v>
      </c>
      <c r="D1212" s="2">
        <v>659266557</v>
      </c>
      <c r="E1212" s="2">
        <v>70028582</v>
      </c>
      <c r="F1212" s="2">
        <v>33699485</v>
      </c>
      <c r="G1212" s="2">
        <f t="shared" si="36"/>
        <v>103728067</v>
      </c>
      <c r="H1212">
        <f t="shared" si="37"/>
        <v>0.15733858467205702</v>
      </c>
    </row>
    <row r="1213" spans="1:8">
      <c r="A1213" t="s">
        <v>89</v>
      </c>
      <c r="B1213">
        <v>12000</v>
      </c>
      <c r="C1213" t="s">
        <v>29</v>
      </c>
      <c r="D1213" s="2">
        <v>587534278</v>
      </c>
      <c r="E1213" s="2">
        <v>73880838</v>
      </c>
      <c r="F1213" s="2">
        <v>35919455</v>
      </c>
      <c r="G1213" s="2">
        <f t="shared" si="36"/>
        <v>109800293</v>
      </c>
      <c r="H1213">
        <f t="shared" si="37"/>
        <v>0.18688321194427399</v>
      </c>
    </row>
    <row r="1214" spans="1:8">
      <c r="A1214" t="s">
        <v>89</v>
      </c>
      <c r="B1214">
        <v>13000</v>
      </c>
      <c r="C1214" t="s">
        <v>30</v>
      </c>
      <c r="D1214" s="2">
        <v>4376821698</v>
      </c>
      <c r="E1214" s="2">
        <v>128100940</v>
      </c>
      <c r="F1214" s="2">
        <v>62694509</v>
      </c>
      <c r="G1214" s="2">
        <f t="shared" si="36"/>
        <v>190795449</v>
      </c>
      <c r="H1214">
        <f t="shared" si="37"/>
        <v>4.3592237053472954E-2</v>
      </c>
    </row>
    <row r="1215" spans="1:8">
      <c r="A1215" t="s">
        <v>89</v>
      </c>
      <c r="B1215">
        <v>14000</v>
      </c>
      <c r="C1215" t="s">
        <v>31</v>
      </c>
      <c r="D1215" s="2">
        <v>990862941</v>
      </c>
      <c r="E1215" s="2">
        <v>47852996</v>
      </c>
      <c r="F1215" s="2">
        <v>28437299</v>
      </c>
      <c r="G1215" s="2">
        <f t="shared" si="36"/>
        <v>76290295</v>
      </c>
      <c r="H1215">
        <f t="shared" si="37"/>
        <v>7.6993791818479165E-2</v>
      </c>
    </row>
    <row r="1216" spans="1:8">
      <c r="A1216" t="s">
        <v>89</v>
      </c>
      <c r="B1216">
        <v>15000</v>
      </c>
      <c r="C1216" t="s">
        <v>32</v>
      </c>
      <c r="D1216" s="2">
        <v>257734211</v>
      </c>
      <c r="E1216" s="2">
        <v>166295086</v>
      </c>
      <c r="F1216" s="2">
        <v>29562058</v>
      </c>
      <c r="G1216" s="2">
        <f t="shared" si="36"/>
        <v>195857144</v>
      </c>
      <c r="H1216">
        <f t="shared" si="37"/>
        <v>0.75991907803035119</v>
      </c>
    </row>
    <row r="1217" spans="1:8">
      <c r="A1217" t="s">
        <v>89</v>
      </c>
      <c r="B1217">
        <v>16000</v>
      </c>
      <c r="C1217" t="s">
        <v>33</v>
      </c>
      <c r="D1217" s="2">
        <v>129254451</v>
      </c>
      <c r="E1217" s="2">
        <v>61743144</v>
      </c>
      <c r="F1217" s="2">
        <v>14904459</v>
      </c>
      <c r="G1217" s="2">
        <f t="shared" si="36"/>
        <v>76647603</v>
      </c>
      <c r="H1217">
        <f t="shared" si="37"/>
        <v>0.59299778388289315</v>
      </c>
    </row>
    <row r="1218" spans="1:8">
      <c r="A1218" t="s">
        <v>89</v>
      </c>
      <c r="B1218">
        <v>17000</v>
      </c>
      <c r="C1218" t="s">
        <v>34</v>
      </c>
      <c r="D1218" s="2">
        <v>136201958</v>
      </c>
      <c r="E1218" s="2">
        <v>54646503</v>
      </c>
      <c r="F1218" s="2">
        <v>16046186</v>
      </c>
      <c r="G1218" s="2">
        <f t="shared" si="36"/>
        <v>70692689</v>
      </c>
      <c r="H1218">
        <f t="shared" si="37"/>
        <v>0.51902843423146683</v>
      </c>
    </row>
    <row r="1219" spans="1:8">
      <c r="A1219" t="s">
        <v>89</v>
      </c>
      <c r="B1219">
        <v>18000</v>
      </c>
      <c r="C1219" t="s">
        <v>35</v>
      </c>
      <c r="D1219" s="2">
        <v>116799595</v>
      </c>
      <c r="E1219" s="2">
        <v>53939755</v>
      </c>
      <c r="F1219" s="2">
        <v>12768469</v>
      </c>
      <c r="G1219" s="2">
        <f t="shared" ref="G1219:G1282" si="38">E1219+F1219</f>
        <v>66708224</v>
      </c>
      <c r="H1219">
        <f t="shared" ref="H1219:H1282" si="39">G1219/D1219</f>
        <v>0.57113403518222816</v>
      </c>
    </row>
    <row r="1220" spans="1:8">
      <c r="A1220" t="s">
        <v>89</v>
      </c>
      <c r="B1220">
        <v>19000</v>
      </c>
      <c r="C1220" t="s">
        <v>36</v>
      </c>
      <c r="D1220" s="2">
        <v>95259485</v>
      </c>
      <c r="E1220" s="2">
        <v>61542718</v>
      </c>
      <c r="F1220" s="2">
        <v>7976317</v>
      </c>
      <c r="G1220" s="2">
        <f t="shared" si="38"/>
        <v>69519035</v>
      </c>
      <c r="H1220">
        <f t="shared" si="39"/>
        <v>0.72978596304609455</v>
      </c>
    </row>
    <row r="1221" spans="1:8">
      <c r="A1221" t="s">
        <v>89</v>
      </c>
      <c r="B1221">
        <v>20000</v>
      </c>
      <c r="C1221" t="s">
        <v>37</v>
      </c>
      <c r="D1221" s="2">
        <v>239260503</v>
      </c>
      <c r="E1221" s="2">
        <v>102172754</v>
      </c>
      <c r="F1221" s="2">
        <v>28102896</v>
      </c>
      <c r="G1221" s="2">
        <f t="shared" si="38"/>
        <v>130275650</v>
      </c>
      <c r="H1221">
        <f t="shared" si="39"/>
        <v>0.54449292033796315</v>
      </c>
    </row>
    <row r="1222" spans="1:8">
      <c r="A1222" t="s">
        <v>89</v>
      </c>
      <c r="B1222">
        <v>21000</v>
      </c>
      <c r="C1222" t="s">
        <v>38</v>
      </c>
      <c r="D1222" s="2">
        <v>233652595</v>
      </c>
      <c r="E1222" s="2">
        <v>72161140</v>
      </c>
      <c r="F1222" s="2">
        <v>23958450</v>
      </c>
      <c r="G1222" s="2">
        <f t="shared" si="38"/>
        <v>96119590</v>
      </c>
      <c r="H1222">
        <f t="shared" si="39"/>
        <v>0.41137822586562756</v>
      </c>
    </row>
    <row r="1223" spans="1:8">
      <c r="A1223" t="s">
        <v>89</v>
      </c>
      <c r="B1223">
        <v>22000</v>
      </c>
      <c r="C1223" t="s">
        <v>39</v>
      </c>
      <c r="D1223" s="2">
        <v>494194710</v>
      </c>
      <c r="E1223" s="2">
        <v>82769649</v>
      </c>
      <c r="F1223" s="2">
        <v>25477891</v>
      </c>
      <c r="G1223" s="2">
        <f t="shared" si="38"/>
        <v>108247540</v>
      </c>
      <c r="H1223">
        <f t="shared" si="39"/>
        <v>0.21903824102042696</v>
      </c>
    </row>
    <row r="1224" spans="1:8">
      <c r="A1224" t="s">
        <v>89</v>
      </c>
      <c r="B1224">
        <v>23000</v>
      </c>
      <c r="C1224" t="s">
        <v>40</v>
      </c>
      <c r="D1224" s="2">
        <v>1058844399</v>
      </c>
      <c r="E1224" s="2">
        <v>91843535</v>
      </c>
      <c r="F1224" s="2">
        <v>37337134</v>
      </c>
      <c r="G1224" s="2">
        <f t="shared" si="38"/>
        <v>129180669</v>
      </c>
      <c r="H1224">
        <f t="shared" si="39"/>
        <v>0.1220015604955757</v>
      </c>
    </row>
    <row r="1225" spans="1:8">
      <c r="A1225" t="s">
        <v>89</v>
      </c>
      <c r="B1225">
        <v>24000</v>
      </c>
      <c r="C1225" t="s">
        <v>41</v>
      </c>
      <c r="D1225" s="2">
        <v>205291775</v>
      </c>
      <c r="E1225" s="2">
        <v>60332571</v>
      </c>
      <c r="F1225" s="2">
        <v>15094481</v>
      </c>
      <c r="G1225" s="2">
        <f t="shared" si="38"/>
        <v>75427052</v>
      </c>
      <c r="H1225">
        <f t="shared" si="39"/>
        <v>0.36741390150677006</v>
      </c>
    </row>
    <row r="1226" spans="1:8">
      <c r="A1226" t="s">
        <v>89</v>
      </c>
      <c r="B1226">
        <v>25000</v>
      </c>
      <c r="C1226" t="s">
        <v>42</v>
      </c>
      <c r="D1226" s="2">
        <v>148431018</v>
      </c>
      <c r="E1226" s="2">
        <v>41641672</v>
      </c>
      <c r="F1226" s="2">
        <v>20371616</v>
      </c>
      <c r="G1226" s="2">
        <f t="shared" si="38"/>
        <v>62013288</v>
      </c>
      <c r="H1226">
        <f t="shared" si="39"/>
        <v>0.4177919739120835</v>
      </c>
    </row>
    <row r="1227" spans="1:8">
      <c r="A1227" t="s">
        <v>89</v>
      </c>
      <c r="B1227">
        <v>26000</v>
      </c>
      <c r="C1227" t="s">
        <v>43</v>
      </c>
      <c r="D1227" s="2">
        <v>301978452</v>
      </c>
      <c r="E1227" s="2">
        <v>37621213</v>
      </c>
      <c r="F1227" s="2">
        <v>15722979</v>
      </c>
      <c r="G1227" s="2">
        <f t="shared" si="38"/>
        <v>53344192</v>
      </c>
      <c r="H1227">
        <f t="shared" si="39"/>
        <v>0.17664900143272474</v>
      </c>
    </row>
    <row r="1228" spans="1:8">
      <c r="A1228" t="s">
        <v>89</v>
      </c>
      <c r="B1228">
        <v>27000</v>
      </c>
      <c r="C1228" t="s">
        <v>44</v>
      </c>
      <c r="D1228" s="2">
        <v>1275730192</v>
      </c>
      <c r="E1228" s="2">
        <v>95160454</v>
      </c>
      <c r="F1228" s="2">
        <v>45719001</v>
      </c>
      <c r="G1228" s="2">
        <f t="shared" si="38"/>
        <v>140879455</v>
      </c>
      <c r="H1228">
        <f t="shared" si="39"/>
        <v>0.11043044672254648</v>
      </c>
    </row>
    <row r="1229" spans="1:8">
      <c r="A1229" t="s">
        <v>89</v>
      </c>
      <c r="B1229">
        <v>28000</v>
      </c>
      <c r="C1229" t="s">
        <v>45</v>
      </c>
      <c r="D1229" s="2">
        <v>606906784</v>
      </c>
      <c r="E1229" s="2">
        <v>107674699</v>
      </c>
      <c r="F1229" s="2">
        <v>37959388</v>
      </c>
      <c r="G1229" s="2">
        <f t="shared" si="38"/>
        <v>145634087</v>
      </c>
      <c r="H1229">
        <f t="shared" si="39"/>
        <v>0.23996121124261482</v>
      </c>
    </row>
    <row r="1230" spans="1:8">
      <c r="A1230" t="s">
        <v>89</v>
      </c>
      <c r="B1230">
        <v>29000</v>
      </c>
      <c r="C1230" t="s">
        <v>46</v>
      </c>
      <c r="D1230" s="2">
        <v>118435297</v>
      </c>
      <c r="E1230" s="2">
        <v>33568964</v>
      </c>
      <c r="F1230" s="2">
        <v>11690104</v>
      </c>
      <c r="G1230" s="2">
        <f t="shared" si="38"/>
        <v>45259068</v>
      </c>
      <c r="H1230">
        <f t="shared" si="39"/>
        <v>0.38214171911942774</v>
      </c>
    </row>
    <row r="1231" spans="1:8">
      <c r="A1231" t="s">
        <v>89</v>
      </c>
      <c r="B1231">
        <v>30000</v>
      </c>
      <c r="C1231" t="s">
        <v>47</v>
      </c>
      <c r="D1231" s="2">
        <v>97604821</v>
      </c>
      <c r="E1231" s="2">
        <v>50021277</v>
      </c>
      <c r="F1231" s="2">
        <v>13608151</v>
      </c>
      <c r="G1231" s="2">
        <f t="shared" si="38"/>
        <v>63629428</v>
      </c>
      <c r="H1231">
        <f t="shared" si="39"/>
        <v>0.65190865930690045</v>
      </c>
    </row>
    <row r="1232" spans="1:8">
      <c r="A1232" t="s">
        <v>89</v>
      </c>
      <c r="B1232">
        <v>31000</v>
      </c>
      <c r="C1232" t="s">
        <v>48</v>
      </c>
      <c r="D1232" s="2">
        <v>49706452</v>
      </c>
      <c r="E1232" s="2">
        <v>44921961</v>
      </c>
      <c r="F1232" s="2">
        <v>13405044</v>
      </c>
      <c r="G1232" s="2">
        <f t="shared" si="38"/>
        <v>58327005</v>
      </c>
      <c r="H1232">
        <f t="shared" si="39"/>
        <v>1.1734292562261335</v>
      </c>
    </row>
    <row r="1233" spans="1:8">
      <c r="A1233" t="s">
        <v>89</v>
      </c>
      <c r="B1233">
        <v>32000</v>
      </c>
      <c r="C1233" t="s">
        <v>49</v>
      </c>
      <c r="D1233" s="2">
        <v>63230250</v>
      </c>
      <c r="E1233" s="2">
        <v>77187933</v>
      </c>
      <c r="F1233" s="2">
        <v>17263490</v>
      </c>
      <c r="G1233" s="2">
        <f t="shared" si="38"/>
        <v>94451423</v>
      </c>
      <c r="H1233">
        <f t="shared" si="39"/>
        <v>1.4937695644094402</v>
      </c>
    </row>
    <row r="1234" spans="1:8">
      <c r="A1234" t="s">
        <v>89</v>
      </c>
      <c r="B1234">
        <v>33000</v>
      </c>
      <c r="C1234" t="s">
        <v>50</v>
      </c>
      <c r="D1234" s="2">
        <v>197360444</v>
      </c>
      <c r="E1234" s="2">
        <v>56663833</v>
      </c>
      <c r="F1234" s="2">
        <v>23350456</v>
      </c>
      <c r="G1234" s="2">
        <f t="shared" si="38"/>
        <v>80014289</v>
      </c>
      <c r="H1234">
        <f t="shared" si="39"/>
        <v>0.40542211690606045</v>
      </c>
    </row>
    <row r="1235" spans="1:8">
      <c r="A1235" t="s">
        <v>89</v>
      </c>
      <c r="B1235">
        <v>34000</v>
      </c>
      <c r="C1235" t="s">
        <v>51</v>
      </c>
      <c r="D1235" s="2">
        <v>312076480</v>
      </c>
      <c r="E1235" s="2">
        <v>76069249</v>
      </c>
      <c r="F1235" s="2">
        <v>44088061</v>
      </c>
      <c r="G1235" s="2">
        <f t="shared" si="38"/>
        <v>120157310</v>
      </c>
      <c r="H1235">
        <f t="shared" si="39"/>
        <v>0.3850252027964427</v>
      </c>
    </row>
    <row r="1236" spans="1:8">
      <c r="A1236" t="s">
        <v>89</v>
      </c>
      <c r="B1236">
        <v>35000</v>
      </c>
      <c r="C1236" t="s">
        <v>52</v>
      </c>
      <c r="D1236" s="2">
        <v>155198262</v>
      </c>
      <c r="E1236" s="2">
        <v>69844519</v>
      </c>
      <c r="F1236" s="2">
        <v>19857932</v>
      </c>
      <c r="G1236" s="2">
        <f t="shared" si="38"/>
        <v>89702451</v>
      </c>
      <c r="H1236">
        <f t="shared" si="39"/>
        <v>0.5779861826029985</v>
      </c>
    </row>
    <row r="1237" spans="1:8">
      <c r="A1237" t="s">
        <v>89</v>
      </c>
      <c r="B1237">
        <v>36000</v>
      </c>
      <c r="C1237" t="s">
        <v>53</v>
      </c>
      <c r="D1237" s="2">
        <v>68624114</v>
      </c>
      <c r="E1237" s="2">
        <v>51915088</v>
      </c>
      <c r="F1237" s="2">
        <v>11994087</v>
      </c>
      <c r="G1237" s="2">
        <f t="shared" si="38"/>
        <v>63909175</v>
      </c>
      <c r="H1237">
        <f t="shared" si="39"/>
        <v>0.93129326230718257</v>
      </c>
    </row>
    <row r="1238" spans="1:8">
      <c r="A1238" t="s">
        <v>89</v>
      </c>
      <c r="B1238">
        <v>37000</v>
      </c>
      <c r="C1238" t="s">
        <v>54</v>
      </c>
      <c r="D1238" s="2">
        <v>114430941</v>
      </c>
      <c r="E1238" s="2">
        <v>32386319</v>
      </c>
      <c r="F1238" s="2">
        <v>11682041</v>
      </c>
      <c r="G1238" s="2">
        <f t="shared" si="38"/>
        <v>44068360</v>
      </c>
      <c r="H1238">
        <f t="shared" si="39"/>
        <v>0.38510877927675174</v>
      </c>
    </row>
    <row r="1239" spans="1:8">
      <c r="A1239" t="s">
        <v>89</v>
      </c>
      <c r="B1239">
        <v>38000</v>
      </c>
      <c r="C1239" t="s">
        <v>55</v>
      </c>
      <c r="D1239" s="2">
        <v>127798701</v>
      </c>
      <c r="E1239" s="2">
        <v>55882190</v>
      </c>
      <c r="F1239" s="2">
        <v>16572671</v>
      </c>
      <c r="G1239" s="2">
        <f t="shared" si="38"/>
        <v>72454861</v>
      </c>
      <c r="H1239">
        <f t="shared" si="39"/>
        <v>0.56694520705652551</v>
      </c>
    </row>
    <row r="1240" spans="1:8">
      <c r="A1240" t="s">
        <v>89</v>
      </c>
      <c r="B1240">
        <v>39000</v>
      </c>
      <c r="C1240" t="s">
        <v>56</v>
      </c>
      <c r="D1240" s="2">
        <v>59871577</v>
      </c>
      <c r="E1240" s="2">
        <v>69270939</v>
      </c>
      <c r="F1240" s="2">
        <v>15214106</v>
      </c>
      <c r="G1240" s="2">
        <f t="shared" si="38"/>
        <v>84485045</v>
      </c>
      <c r="H1240">
        <f t="shared" si="39"/>
        <v>1.4111043876462448</v>
      </c>
    </row>
    <row r="1241" spans="1:8">
      <c r="A1241" t="s">
        <v>89</v>
      </c>
      <c r="B1241">
        <v>40000</v>
      </c>
      <c r="C1241" t="s">
        <v>57</v>
      </c>
      <c r="D1241" s="2">
        <v>456497978</v>
      </c>
      <c r="E1241" s="2">
        <v>79015298</v>
      </c>
      <c r="F1241" s="2">
        <v>41757583</v>
      </c>
      <c r="G1241" s="2">
        <f t="shared" si="38"/>
        <v>120772881</v>
      </c>
      <c r="H1241">
        <f t="shared" si="39"/>
        <v>0.26456389035747274</v>
      </c>
    </row>
    <row r="1242" spans="1:8">
      <c r="A1242" t="s">
        <v>89</v>
      </c>
      <c r="B1242">
        <v>41000</v>
      </c>
      <c r="C1242" t="s">
        <v>58</v>
      </c>
      <c r="D1242" s="2">
        <v>73862176</v>
      </c>
      <c r="E1242" s="2">
        <v>58267605</v>
      </c>
      <c r="F1242" s="2">
        <v>12848054</v>
      </c>
      <c r="G1242" s="2">
        <f t="shared" si="38"/>
        <v>71115659</v>
      </c>
      <c r="H1242">
        <f t="shared" si="39"/>
        <v>0.96281565005612613</v>
      </c>
    </row>
    <row r="1243" spans="1:8">
      <c r="A1243" t="s">
        <v>89</v>
      </c>
      <c r="B1243">
        <v>42000</v>
      </c>
      <c r="C1243" t="s">
        <v>59</v>
      </c>
      <c r="D1243" s="2">
        <v>113168224</v>
      </c>
      <c r="E1243" s="2">
        <v>102209195</v>
      </c>
      <c r="F1243" s="2">
        <v>25396874</v>
      </c>
      <c r="G1243" s="2">
        <f t="shared" si="38"/>
        <v>127606069</v>
      </c>
      <c r="H1243">
        <f t="shared" si="39"/>
        <v>1.127578612526428</v>
      </c>
    </row>
    <row r="1244" spans="1:8">
      <c r="A1244" t="s">
        <v>89</v>
      </c>
      <c r="B1244">
        <v>43000</v>
      </c>
      <c r="C1244" t="s">
        <v>60</v>
      </c>
      <c r="D1244" s="2">
        <v>139943835</v>
      </c>
      <c r="E1244" s="2">
        <v>90669963</v>
      </c>
      <c r="F1244" s="2">
        <v>22356448</v>
      </c>
      <c r="G1244" s="2">
        <f t="shared" si="38"/>
        <v>113026411</v>
      </c>
      <c r="H1244">
        <f t="shared" si="39"/>
        <v>0.80765552123107098</v>
      </c>
    </row>
    <row r="1245" spans="1:8">
      <c r="A1245" t="s">
        <v>89</v>
      </c>
      <c r="B1245">
        <v>44000</v>
      </c>
      <c r="C1245" t="s">
        <v>61</v>
      </c>
      <c r="D1245" s="2">
        <v>100179226</v>
      </c>
      <c r="E1245" s="2">
        <v>79087959</v>
      </c>
      <c r="F1245" s="2">
        <v>17438760</v>
      </c>
      <c r="G1245" s="2">
        <f t="shared" si="38"/>
        <v>96526719</v>
      </c>
      <c r="H1245">
        <f t="shared" si="39"/>
        <v>0.96354027530617969</v>
      </c>
    </row>
    <row r="1246" spans="1:8">
      <c r="A1246" t="s">
        <v>89</v>
      </c>
      <c r="B1246">
        <v>45000</v>
      </c>
      <c r="C1246" t="s">
        <v>62</v>
      </c>
      <c r="D1246" s="2">
        <v>80290858</v>
      </c>
      <c r="E1246" s="2">
        <v>71914086</v>
      </c>
      <c r="F1246" s="2">
        <v>23342337</v>
      </c>
      <c r="G1246" s="2">
        <f t="shared" si="38"/>
        <v>95256423</v>
      </c>
      <c r="H1246">
        <f t="shared" si="39"/>
        <v>1.1863918928354209</v>
      </c>
    </row>
    <row r="1247" spans="1:8">
      <c r="A1247" t="s">
        <v>89</v>
      </c>
      <c r="B1247">
        <v>46000</v>
      </c>
      <c r="C1247" t="s">
        <v>63</v>
      </c>
      <c r="D1247" s="2">
        <v>120393041</v>
      </c>
      <c r="E1247" s="2">
        <v>127979655</v>
      </c>
      <c r="F1247" s="2">
        <v>31386701</v>
      </c>
      <c r="G1247" s="2">
        <f t="shared" si="38"/>
        <v>159366356</v>
      </c>
      <c r="H1247">
        <f t="shared" si="39"/>
        <v>1.3237173401077227</v>
      </c>
    </row>
    <row r="1248" spans="1:8">
      <c r="A1248" t="s">
        <v>89</v>
      </c>
      <c r="B1248">
        <v>47000</v>
      </c>
      <c r="C1248" t="s">
        <v>64</v>
      </c>
      <c r="D1248" s="2">
        <v>75222726</v>
      </c>
      <c r="E1248" s="2">
        <v>119881700</v>
      </c>
      <c r="F1248" s="2">
        <v>21933981</v>
      </c>
      <c r="G1248" s="2">
        <f t="shared" si="38"/>
        <v>141815681</v>
      </c>
      <c r="H1248">
        <f t="shared" si="39"/>
        <v>1.8852770770365328</v>
      </c>
    </row>
    <row r="1249" spans="1:8">
      <c r="A1249" t="s">
        <v>90</v>
      </c>
      <c r="B1249" s="1" t="s">
        <v>7</v>
      </c>
      <c r="C1249" t="s">
        <v>8</v>
      </c>
      <c r="D1249" s="2">
        <v>17984766257</v>
      </c>
      <c r="E1249" s="2">
        <v>2622193963</v>
      </c>
      <c r="F1249" s="2">
        <v>1087442726</v>
      </c>
      <c r="G1249" s="2">
        <f t="shared" si="38"/>
        <v>3709636689</v>
      </c>
      <c r="H1249">
        <f t="shared" si="39"/>
        <v>0.2062654935843907</v>
      </c>
    </row>
    <row r="1250" spans="1:8">
      <c r="A1250" t="s">
        <v>90</v>
      </c>
      <c r="B1250" s="1" t="s">
        <v>9</v>
      </c>
      <c r="C1250" t="s">
        <v>10</v>
      </c>
      <c r="D1250" s="2">
        <v>563550938</v>
      </c>
      <c r="E1250" s="2">
        <v>207227750</v>
      </c>
      <c r="F1250" s="2">
        <v>78752012</v>
      </c>
      <c r="G1250" s="2">
        <f t="shared" si="38"/>
        <v>285979762</v>
      </c>
      <c r="H1250">
        <f t="shared" si="39"/>
        <v>0.5074603602203569</v>
      </c>
    </row>
    <row r="1251" spans="1:8">
      <c r="A1251" t="s">
        <v>90</v>
      </c>
      <c r="B1251" s="1" t="s">
        <v>11</v>
      </c>
      <c r="C1251" t="s">
        <v>12</v>
      </c>
      <c r="D1251" s="2">
        <v>104495747</v>
      </c>
      <c r="E1251" s="2">
        <v>55885344</v>
      </c>
      <c r="F1251" s="2">
        <v>18709663</v>
      </c>
      <c r="G1251" s="2">
        <f t="shared" si="38"/>
        <v>74595007</v>
      </c>
      <c r="H1251">
        <f t="shared" si="39"/>
        <v>0.7138568711317983</v>
      </c>
    </row>
    <row r="1252" spans="1:8">
      <c r="A1252" t="s">
        <v>90</v>
      </c>
      <c r="B1252" s="1" t="s">
        <v>13</v>
      </c>
      <c r="C1252" t="s">
        <v>14</v>
      </c>
      <c r="D1252" s="2">
        <v>113214032</v>
      </c>
      <c r="E1252" s="2">
        <v>66828013</v>
      </c>
      <c r="F1252" s="2">
        <v>19334741</v>
      </c>
      <c r="G1252" s="2">
        <f t="shared" si="38"/>
        <v>86162754</v>
      </c>
      <c r="H1252">
        <f t="shared" si="39"/>
        <v>0.76106073141180941</v>
      </c>
    </row>
    <row r="1253" spans="1:8">
      <c r="A1253" t="s">
        <v>90</v>
      </c>
      <c r="B1253" s="1" t="s">
        <v>15</v>
      </c>
      <c r="C1253" t="s">
        <v>16</v>
      </c>
      <c r="D1253" s="2">
        <v>249599403</v>
      </c>
      <c r="E1253" s="2">
        <v>52459172</v>
      </c>
      <c r="F1253" s="2">
        <v>19453429</v>
      </c>
      <c r="G1253" s="2">
        <f t="shared" si="38"/>
        <v>71912601</v>
      </c>
      <c r="H1253">
        <f t="shared" si="39"/>
        <v>0.28811207132574751</v>
      </c>
    </row>
    <row r="1254" spans="1:8">
      <c r="A1254" t="s">
        <v>90</v>
      </c>
      <c r="B1254" s="1" t="s">
        <v>17</v>
      </c>
      <c r="C1254" t="s">
        <v>18</v>
      </c>
      <c r="D1254" s="2">
        <v>92307501</v>
      </c>
      <c r="E1254" s="2">
        <v>55117345</v>
      </c>
      <c r="F1254" s="2">
        <v>17161367</v>
      </c>
      <c r="G1254" s="2">
        <f t="shared" si="38"/>
        <v>72278712</v>
      </c>
      <c r="H1254">
        <f t="shared" si="39"/>
        <v>0.78302100281102838</v>
      </c>
    </row>
    <row r="1255" spans="1:8">
      <c r="A1255" t="s">
        <v>90</v>
      </c>
      <c r="B1255" s="1" t="s">
        <v>19</v>
      </c>
      <c r="C1255" t="s">
        <v>20</v>
      </c>
      <c r="D1255" s="2">
        <v>104726733</v>
      </c>
      <c r="E1255" s="2">
        <v>55060866</v>
      </c>
      <c r="F1255" s="2">
        <v>17189357</v>
      </c>
      <c r="G1255" s="2">
        <f t="shared" si="38"/>
        <v>72250223</v>
      </c>
      <c r="H1255">
        <f t="shared" si="39"/>
        <v>0.68989283758140341</v>
      </c>
    </row>
    <row r="1256" spans="1:8">
      <c r="A1256" t="s">
        <v>90</v>
      </c>
      <c r="B1256" s="1" t="s">
        <v>21</v>
      </c>
      <c r="C1256" t="s">
        <v>22</v>
      </c>
      <c r="D1256" s="2">
        <v>224954334</v>
      </c>
      <c r="E1256" s="2">
        <v>59646233</v>
      </c>
      <c r="F1256" s="2">
        <v>26308325</v>
      </c>
      <c r="G1256" s="2">
        <f t="shared" si="38"/>
        <v>85954558</v>
      </c>
      <c r="H1256">
        <f t="shared" si="39"/>
        <v>0.38209780834896029</v>
      </c>
    </row>
    <row r="1257" spans="1:8">
      <c r="A1257" t="s">
        <v>90</v>
      </c>
      <c r="B1257" s="1" t="s">
        <v>23</v>
      </c>
      <c r="C1257" t="s">
        <v>24</v>
      </c>
      <c r="D1257" s="2">
        <v>350654732</v>
      </c>
      <c r="E1257" s="2">
        <v>47134988</v>
      </c>
      <c r="F1257" s="2">
        <v>25002352</v>
      </c>
      <c r="G1257" s="2">
        <f t="shared" si="38"/>
        <v>72137340</v>
      </c>
      <c r="H1257">
        <f t="shared" si="39"/>
        <v>0.20572184949153915</v>
      </c>
    </row>
    <row r="1258" spans="1:8">
      <c r="A1258" t="s">
        <v>90</v>
      </c>
      <c r="B1258" s="1" t="s">
        <v>25</v>
      </c>
      <c r="C1258" t="s">
        <v>26</v>
      </c>
      <c r="D1258" s="2">
        <v>253985593</v>
      </c>
      <c r="E1258" s="2">
        <v>33396020</v>
      </c>
      <c r="F1258" s="2">
        <v>17025661</v>
      </c>
      <c r="G1258" s="2">
        <f t="shared" si="38"/>
        <v>50421681</v>
      </c>
      <c r="H1258">
        <f t="shared" si="39"/>
        <v>0.19852181536926783</v>
      </c>
    </row>
    <row r="1259" spans="1:8">
      <c r="A1259" t="s">
        <v>90</v>
      </c>
      <c r="B1259">
        <v>10000</v>
      </c>
      <c r="C1259" t="s">
        <v>27</v>
      </c>
      <c r="D1259" s="2">
        <v>242098256</v>
      </c>
      <c r="E1259" s="2">
        <v>42646600</v>
      </c>
      <c r="F1259" s="2">
        <v>20363089</v>
      </c>
      <c r="G1259" s="2">
        <f t="shared" si="38"/>
        <v>63009689</v>
      </c>
      <c r="H1259">
        <f t="shared" si="39"/>
        <v>0.26026494383338311</v>
      </c>
    </row>
    <row r="1260" spans="1:8">
      <c r="A1260" t="s">
        <v>90</v>
      </c>
      <c r="B1260">
        <v>11000</v>
      </c>
      <c r="C1260" t="s">
        <v>28</v>
      </c>
      <c r="D1260" s="2">
        <v>678918793</v>
      </c>
      <c r="E1260" s="2">
        <v>50211356</v>
      </c>
      <c r="F1260" s="2">
        <v>31940969</v>
      </c>
      <c r="G1260" s="2">
        <f t="shared" si="38"/>
        <v>82152325</v>
      </c>
      <c r="H1260">
        <f t="shared" si="39"/>
        <v>0.12100464127231782</v>
      </c>
    </row>
    <row r="1261" spans="1:8">
      <c r="A1261" t="s">
        <v>90</v>
      </c>
      <c r="B1261">
        <v>12000</v>
      </c>
      <c r="C1261" t="s">
        <v>29</v>
      </c>
      <c r="D1261" s="2">
        <v>625575302</v>
      </c>
      <c r="E1261" s="2">
        <v>54648286</v>
      </c>
      <c r="F1261" s="2">
        <v>35165289</v>
      </c>
      <c r="G1261" s="2">
        <f t="shared" si="38"/>
        <v>89813575</v>
      </c>
      <c r="H1261">
        <f t="shared" si="39"/>
        <v>0.1435695666258896</v>
      </c>
    </row>
    <row r="1262" spans="1:8">
      <c r="A1262" t="s">
        <v>90</v>
      </c>
      <c r="B1262">
        <v>13000</v>
      </c>
      <c r="C1262" t="s">
        <v>30</v>
      </c>
      <c r="D1262" s="2">
        <v>4849361416</v>
      </c>
      <c r="E1262" s="2">
        <v>102173922</v>
      </c>
      <c r="F1262" s="2">
        <v>56560037</v>
      </c>
      <c r="G1262" s="2">
        <f t="shared" si="38"/>
        <v>158733959</v>
      </c>
      <c r="H1262">
        <f t="shared" si="39"/>
        <v>3.2732961184594865E-2</v>
      </c>
    </row>
    <row r="1263" spans="1:8">
      <c r="A1263" t="s">
        <v>90</v>
      </c>
      <c r="B1263">
        <v>14000</v>
      </c>
      <c r="C1263" t="s">
        <v>31</v>
      </c>
      <c r="D1263" s="2">
        <v>1093095541</v>
      </c>
      <c r="E1263" s="2">
        <v>33173211</v>
      </c>
      <c r="F1263" s="2">
        <v>26565146</v>
      </c>
      <c r="G1263" s="2">
        <f t="shared" si="38"/>
        <v>59738357</v>
      </c>
      <c r="H1263">
        <f t="shared" si="39"/>
        <v>5.4650627286750589E-2</v>
      </c>
    </row>
    <row r="1264" spans="1:8">
      <c r="A1264" t="s">
        <v>90</v>
      </c>
      <c r="B1264">
        <v>15000</v>
      </c>
      <c r="C1264" t="s">
        <v>32</v>
      </c>
      <c r="D1264" s="2">
        <v>269173672</v>
      </c>
      <c r="E1264" s="2">
        <v>116746922</v>
      </c>
      <c r="F1264" s="2">
        <v>18707501</v>
      </c>
      <c r="G1264" s="2">
        <f t="shared" si="38"/>
        <v>135454423</v>
      </c>
      <c r="H1264">
        <f t="shared" si="39"/>
        <v>0.50322314955082237</v>
      </c>
    </row>
    <row r="1265" spans="1:8">
      <c r="A1265" t="s">
        <v>90</v>
      </c>
      <c r="B1265">
        <v>16000</v>
      </c>
      <c r="C1265" t="s">
        <v>33</v>
      </c>
      <c r="D1265" s="2">
        <v>141968505</v>
      </c>
      <c r="E1265" s="2">
        <v>41047166</v>
      </c>
      <c r="F1265" s="2">
        <v>14338640</v>
      </c>
      <c r="G1265" s="2">
        <f t="shared" si="38"/>
        <v>55385806</v>
      </c>
      <c r="H1265">
        <f t="shared" si="39"/>
        <v>0.39012741593637262</v>
      </c>
    </row>
    <row r="1266" spans="1:8">
      <c r="A1266" t="s">
        <v>90</v>
      </c>
      <c r="B1266">
        <v>17000</v>
      </c>
      <c r="C1266" t="s">
        <v>34</v>
      </c>
      <c r="D1266" s="2">
        <v>144276657</v>
      </c>
      <c r="E1266" s="2">
        <v>37526062</v>
      </c>
      <c r="F1266" s="2">
        <v>14731338</v>
      </c>
      <c r="G1266" s="2">
        <f t="shared" si="38"/>
        <v>52257400</v>
      </c>
      <c r="H1266">
        <f t="shared" si="39"/>
        <v>0.36220273664921415</v>
      </c>
    </row>
    <row r="1267" spans="1:8">
      <c r="A1267" t="s">
        <v>90</v>
      </c>
      <c r="B1267">
        <v>18000</v>
      </c>
      <c r="C1267" t="s">
        <v>35</v>
      </c>
      <c r="D1267" s="2">
        <v>111970247</v>
      </c>
      <c r="E1267" s="2">
        <v>35902275</v>
      </c>
      <c r="F1267" s="2">
        <v>15040299</v>
      </c>
      <c r="G1267" s="2">
        <f t="shared" si="38"/>
        <v>50942574</v>
      </c>
      <c r="H1267">
        <f t="shared" si="39"/>
        <v>0.45496527305150986</v>
      </c>
    </row>
    <row r="1268" spans="1:8">
      <c r="A1268" t="s">
        <v>90</v>
      </c>
      <c r="B1268">
        <v>19000</v>
      </c>
      <c r="C1268" t="s">
        <v>36</v>
      </c>
      <c r="D1268" s="2">
        <v>107061596</v>
      </c>
      <c r="E1268" s="2">
        <v>34821464</v>
      </c>
      <c r="F1268" s="2">
        <v>12227734</v>
      </c>
      <c r="G1268" s="2">
        <f t="shared" si="38"/>
        <v>47049198</v>
      </c>
      <c r="H1268">
        <f t="shared" si="39"/>
        <v>0.43945915022600635</v>
      </c>
    </row>
    <row r="1269" spans="1:8">
      <c r="A1269" t="s">
        <v>90</v>
      </c>
      <c r="B1269">
        <v>20000</v>
      </c>
      <c r="C1269" t="s">
        <v>37</v>
      </c>
      <c r="D1269" s="2">
        <v>256374012</v>
      </c>
      <c r="E1269" s="2">
        <v>63440457</v>
      </c>
      <c r="F1269" s="2">
        <v>25425034</v>
      </c>
      <c r="G1269" s="2">
        <f t="shared" si="38"/>
        <v>88865491</v>
      </c>
      <c r="H1269">
        <f t="shared" si="39"/>
        <v>0.34662441136974526</v>
      </c>
    </row>
    <row r="1270" spans="1:8">
      <c r="A1270" t="s">
        <v>90</v>
      </c>
      <c r="B1270">
        <v>21000</v>
      </c>
      <c r="C1270" t="s">
        <v>38</v>
      </c>
      <c r="D1270" s="2">
        <v>245394816</v>
      </c>
      <c r="E1270" s="2">
        <v>50691648</v>
      </c>
      <c r="F1270" s="2">
        <v>20359156</v>
      </c>
      <c r="G1270" s="2">
        <f t="shared" si="38"/>
        <v>71050804</v>
      </c>
      <c r="H1270">
        <f t="shared" si="39"/>
        <v>0.28953669502129986</v>
      </c>
    </row>
    <row r="1271" spans="1:8">
      <c r="A1271" t="s">
        <v>90</v>
      </c>
      <c r="B1271">
        <v>22000</v>
      </c>
      <c r="C1271" t="s">
        <v>39</v>
      </c>
      <c r="D1271" s="2">
        <v>525681216</v>
      </c>
      <c r="E1271" s="2">
        <v>60753981</v>
      </c>
      <c r="F1271" s="2">
        <v>22930251</v>
      </c>
      <c r="G1271" s="2">
        <f t="shared" si="38"/>
        <v>83684232</v>
      </c>
      <c r="H1271">
        <f t="shared" si="39"/>
        <v>0.15919197691096498</v>
      </c>
    </row>
    <row r="1272" spans="1:8">
      <c r="A1272" t="s">
        <v>90</v>
      </c>
      <c r="B1272">
        <v>23000</v>
      </c>
      <c r="C1272" t="s">
        <v>40</v>
      </c>
      <c r="D1272" s="2">
        <v>1146498036</v>
      </c>
      <c r="E1272" s="2">
        <v>58786101</v>
      </c>
      <c r="F1272" s="2">
        <v>35841229</v>
      </c>
      <c r="G1272" s="2">
        <f t="shared" si="38"/>
        <v>94627330</v>
      </c>
      <c r="H1272">
        <f t="shared" si="39"/>
        <v>8.2535972176754777E-2</v>
      </c>
    </row>
    <row r="1273" spans="1:8">
      <c r="A1273" t="s">
        <v>90</v>
      </c>
      <c r="B1273">
        <v>24000</v>
      </c>
      <c r="C1273" t="s">
        <v>41</v>
      </c>
      <c r="D1273" s="2">
        <v>219073561</v>
      </c>
      <c r="E1273" s="2">
        <v>40570754</v>
      </c>
      <c r="F1273" s="2">
        <v>14715481</v>
      </c>
      <c r="G1273" s="2">
        <f t="shared" si="38"/>
        <v>55286235</v>
      </c>
      <c r="H1273">
        <f t="shared" si="39"/>
        <v>0.25236379391304092</v>
      </c>
    </row>
    <row r="1274" spans="1:8">
      <c r="A1274" t="s">
        <v>90</v>
      </c>
      <c r="B1274">
        <v>25000</v>
      </c>
      <c r="C1274" t="s">
        <v>42</v>
      </c>
      <c r="D1274" s="2">
        <v>158413507</v>
      </c>
      <c r="E1274" s="2">
        <v>32136240</v>
      </c>
      <c r="F1274" s="2">
        <v>13188931</v>
      </c>
      <c r="G1274" s="2">
        <f t="shared" si="38"/>
        <v>45325171</v>
      </c>
      <c r="H1274">
        <f t="shared" si="39"/>
        <v>0.2861193584963686</v>
      </c>
    </row>
    <row r="1275" spans="1:8">
      <c r="A1275" t="s">
        <v>90</v>
      </c>
      <c r="B1275">
        <v>26000</v>
      </c>
      <c r="C1275" t="s">
        <v>43</v>
      </c>
      <c r="D1275" s="2">
        <v>342765583</v>
      </c>
      <c r="E1275" s="2">
        <v>26549400</v>
      </c>
      <c r="F1275" s="2">
        <v>15094434</v>
      </c>
      <c r="G1275" s="2">
        <f t="shared" si="38"/>
        <v>41643834</v>
      </c>
      <c r="H1275">
        <f t="shared" si="39"/>
        <v>0.12149362732255414</v>
      </c>
    </row>
    <row r="1276" spans="1:8">
      <c r="A1276" t="s">
        <v>90</v>
      </c>
      <c r="B1276">
        <v>27000</v>
      </c>
      <c r="C1276" t="s">
        <v>44</v>
      </c>
      <c r="D1276" s="2">
        <v>1450833877</v>
      </c>
      <c r="E1276" s="2">
        <v>60179739</v>
      </c>
      <c r="F1276" s="2">
        <v>43026373</v>
      </c>
      <c r="G1276" s="2">
        <f t="shared" si="38"/>
        <v>103206112</v>
      </c>
      <c r="H1276">
        <f t="shared" si="39"/>
        <v>7.1135719696184069E-2</v>
      </c>
    </row>
    <row r="1277" spans="1:8">
      <c r="A1277" t="s">
        <v>90</v>
      </c>
      <c r="B1277">
        <v>28000</v>
      </c>
      <c r="C1277" t="s">
        <v>45</v>
      </c>
      <c r="D1277" s="2">
        <v>665041641</v>
      </c>
      <c r="E1277" s="2">
        <v>71236906</v>
      </c>
      <c r="F1277" s="2">
        <v>34806360</v>
      </c>
      <c r="G1277" s="2">
        <f t="shared" si="38"/>
        <v>106043266</v>
      </c>
      <c r="H1277">
        <f t="shared" si="39"/>
        <v>0.15945357322369533</v>
      </c>
    </row>
    <row r="1278" spans="1:8">
      <c r="A1278" t="s">
        <v>90</v>
      </c>
      <c r="B1278">
        <v>29000</v>
      </c>
      <c r="C1278" t="s">
        <v>46</v>
      </c>
      <c r="D1278" s="2">
        <v>128141622</v>
      </c>
      <c r="E1278" s="2">
        <v>25512900</v>
      </c>
      <c r="F1278" s="2">
        <v>11911401</v>
      </c>
      <c r="G1278" s="2">
        <f t="shared" si="38"/>
        <v>37424301</v>
      </c>
      <c r="H1278">
        <f t="shared" si="39"/>
        <v>0.29205421638880147</v>
      </c>
    </row>
    <row r="1279" spans="1:8">
      <c r="A1279" t="s">
        <v>90</v>
      </c>
      <c r="B1279">
        <v>30000</v>
      </c>
      <c r="C1279" t="s">
        <v>47</v>
      </c>
      <c r="D1279" s="2">
        <v>104253487</v>
      </c>
      <c r="E1279" s="2">
        <v>32244170</v>
      </c>
      <c r="F1279" s="2">
        <v>13147302</v>
      </c>
      <c r="G1279" s="2">
        <f t="shared" si="38"/>
        <v>45391472</v>
      </c>
      <c r="H1279">
        <f t="shared" si="39"/>
        <v>0.43539524006520758</v>
      </c>
    </row>
    <row r="1280" spans="1:8">
      <c r="A1280" t="s">
        <v>90</v>
      </c>
      <c r="B1280">
        <v>31000</v>
      </c>
      <c r="C1280" t="s">
        <v>48</v>
      </c>
      <c r="D1280" s="2">
        <v>53108562</v>
      </c>
      <c r="E1280" s="2">
        <v>33471924</v>
      </c>
      <c r="F1280" s="2">
        <v>10906334</v>
      </c>
      <c r="G1280" s="2">
        <f t="shared" si="38"/>
        <v>44378258</v>
      </c>
      <c r="H1280">
        <f t="shared" si="39"/>
        <v>0.83561400137326258</v>
      </c>
    </row>
    <row r="1281" spans="1:8">
      <c r="A1281" t="s">
        <v>90</v>
      </c>
      <c r="B1281">
        <v>32000</v>
      </c>
      <c r="C1281" t="s">
        <v>49</v>
      </c>
      <c r="D1281" s="2">
        <v>65312780</v>
      </c>
      <c r="E1281" s="2">
        <v>55186674</v>
      </c>
      <c r="F1281" s="2">
        <v>14666351</v>
      </c>
      <c r="G1281" s="2">
        <f t="shared" si="38"/>
        <v>69853025</v>
      </c>
      <c r="H1281">
        <f t="shared" si="39"/>
        <v>1.0695154149004222</v>
      </c>
    </row>
    <row r="1282" spans="1:8">
      <c r="A1282" t="s">
        <v>90</v>
      </c>
      <c r="B1282">
        <v>33000</v>
      </c>
      <c r="C1282" t="s">
        <v>50</v>
      </c>
      <c r="D1282" s="2">
        <v>216898274</v>
      </c>
      <c r="E1282" s="2">
        <v>40202486</v>
      </c>
      <c r="F1282" s="2">
        <v>21288679</v>
      </c>
      <c r="G1282" s="2">
        <f t="shared" si="38"/>
        <v>61491165</v>
      </c>
      <c r="H1282">
        <f t="shared" si="39"/>
        <v>0.28350232514989954</v>
      </c>
    </row>
    <row r="1283" spans="1:8">
      <c r="A1283" t="s">
        <v>90</v>
      </c>
      <c r="B1283">
        <v>34000</v>
      </c>
      <c r="C1283" t="s">
        <v>51</v>
      </c>
      <c r="D1283" s="2">
        <v>330401449</v>
      </c>
      <c r="E1283" s="2">
        <v>55313661</v>
      </c>
      <c r="F1283" s="2">
        <v>41727682</v>
      </c>
      <c r="G1283" s="2">
        <f t="shared" ref="G1283:G1346" si="40">E1283+F1283</f>
        <v>97041343</v>
      </c>
      <c r="H1283">
        <f t="shared" ref="H1283:H1346" si="41">G1283/D1283</f>
        <v>0.2937073771731552</v>
      </c>
    </row>
    <row r="1284" spans="1:8">
      <c r="A1284" t="s">
        <v>90</v>
      </c>
      <c r="B1284">
        <v>35000</v>
      </c>
      <c r="C1284" t="s">
        <v>52</v>
      </c>
      <c r="D1284" s="2">
        <v>163280436</v>
      </c>
      <c r="E1284" s="2">
        <v>45319631</v>
      </c>
      <c r="F1284" s="2">
        <v>19290988</v>
      </c>
      <c r="G1284" s="2">
        <f t="shared" si="40"/>
        <v>64610619</v>
      </c>
      <c r="H1284">
        <f t="shared" si="41"/>
        <v>0.3957033713457257</v>
      </c>
    </row>
    <row r="1285" spans="1:8">
      <c r="A1285" t="s">
        <v>90</v>
      </c>
      <c r="B1285">
        <v>36000</v>
      </c>
      <c r="C1285" t="s">
        <v>53</v>
      </c>
      <c r="D1285" s="2">
        <v>74180390</v>
      </c>
      <c r="E1285" s="2">
        <v>38099622</v>
      </c>
      <c r="F1285" s="2">
        <v>11218462</v>
      </c>
      <c r="G1285" s="2">
        <f t="shared" si="40"/>
        <v>49318084</v>
      </c>
      <c r="H1285">
        <f t="shared" si="41"/>
        <v>0.66483991254292407</v>
      </c>
    </row>
    <row r="1286" spans="1:8">
      <c r="A1286" t="s">
        <v>90</v>
      </c>
      <c r="B1286">
        <v>37000</v>
      </c>
      <c r="C1286" t="s">
        <v>54</v>
      </c>
      <c r="D1286" s="2">
        <v>119804337</v>
      </c>
      <c r="E1286" s="2">
        <v>23039573</v>
      </c>
      <c r="F1286" s="2">
        <v>11503127</v>
      </c>
      <c r="G1286" s="2">
        <f t="shared" si="40"/>
        <v>34542700</v>
      </c>
      <c r="H1286">
        <f t="shared" si="41"/>
        <v>0.28832595601276106</v>
      </c>
    </row>
    <row r="1287" spans="1:8">
      <c r="A1287" t="s">
        <v>90</v>
      </c>
      <c r="B1287">
        <v>38000</v>
      </c>
      <c r="C1287" t="s">
        <v>55</v>
      </c>
      <c r="D1287" s="2">
        <v>134562541</v>
      </c>
      <c r="E1287" s="2">
        <v>51653754</v>
      </c>
      <c r="F1287" s="2">
        <v>15727972</v>
      </c>
      <c r="G1287" s="2">
        <f t="shared" si="40"/>
        <v>67381726</v>
      </c>
      <c r="H1287">
        <f t="shared" si="41"/>
        <v>0.50074653391094925</v>
      </c>
    </row>
    <row r="1288" spans="1:8">
      <c r="A1288" t="s">
        <v>90</v>
      </c>
      <c r="B1288">
        <v>39000</v>
      </c>
      <c r="C1288" t="s">
        <v>56</v>
      </c>
      <c r="D1288" s="2">
        <v>63557106</v>
      </c>
      <c r="E1288" s="2">
        <v>51330059</v>
      </c>
      <c r="F1288" s="2">
        <v>14598255</v>
      </c>
      <c r="G1288" s="2">
        <f t="shared" si="40"/>
        <v>65928314</v>
      </c>
      <c r="H1288">
        <f t="shared" si="41"/>
        <v>1.0373083066431628</v>
      </c>
    </row>
    <row r="1289" spans="1:8">
      <c r="A1289" t="s">
        <v>90</v>
      </c>
      <c r="B1289">
        <v>40000</v>
      </c>
      <c r="C1289" t="s">
        <v>57</v>
      </c>
      <c r="D1289" s="2">
        <v>481371108</v>
      </c>
      <c r="E1289" s="2">
        <v>53420322</v>
      </c>
      <c r="F1289" s="2">
        <v>39062579</v>
      </c>
      <c r="G1289" s="2">
        <f t="shared" si="40"/>
        <v>92482901</v>
      </c>
      <c r="H1289">
        <f t="shared" si="41"/>
        <v>0.19212391326153294</v>
      </c>
    </row>
    <row r="1290" spans="1:8">
      <c r="A1290" t="s">
        <v>90</v>
      </c>
      <c r="B1290">
        <v>41000</v>
      </c>
      <c r="C1290" t="s">
        <v>58</v>
      </c>
      <c r="D1290" s="2">
        <v>74403160</v>
      </c>
      <c r="E1290" s="2">
        <v>41179158</v>
      </c>
      <c r="F1290" s="2">
        <v>12104957</v>
      </c>
      <c r="G1290" s="2">
        <f t="shared" si="40"/>
        <v>53284115</v>
      </c>
      <c r="H1290">
        <f t="shared" si="41"/>
        <v>0.71615392410752443</v>
      </c>
    </row>
    <row r="1291" spans="1:8">
      <c r="A1291" t="s">
        <v>90</v>
      </c>
      <c r="B1291">
        <v>42000</v>
      </c>
      <c r="C1291" t="s">
        <v>59</v>
      </c>
      <c r="D1291" s="2">
        <v>108790591</v>
      </c>
      <c r="E1291" s="2">
        <v>76558256</v>
      </c>
      <c r="F1291" s="2">
        <v>29367308</v>
      </c>
      <c r="G1291" s="2">
        <f t="shared" si="40"/>
        <v>105925564</v>
      </c>
      <c r="H1291">
        <f t="shared" si="41"/>
        <v>0.97366475378371642</v>
      </c>
    </row>
    <row r="1292" spans="1:8">
      <c r="A1292" t="s">
        <v>90</v>
      </c>
      <c r="B1292">
        <v>43000</v>
      </c>
      <c r="C1292" t="s">
        <v>60</v>
      </c>
      <c r="D1292" s="2">
        <v>142497575</v>
      </c>
      <c r="E1292" s="2">
        <v>68448589</v>
      </c>
      <c r="F1292" s="2">
        <v>20688462</v>
      </c>
      <c r="G1292" s="2">
        <f t="shared" si="40"/>
        <v>89137051</v>
      </c>
      <c r="H1292">
        <f t="shared" si="41"/>
        <v>0.62553380996132746</v>
      </c>
    </row>
    <row r="1293" spans="1:8">
      <c r="A1293" t="s">
        <v>90</v>
      </c>
      <c r="B1293">
        <v>44000</v>
      </c>
      <c r="C1293" t="s">
        <v>61</v>
      </c>
      <c r="D1293" s="2">
        <v>108280684</v>
      </c>
      <c r="E1293" s="2">
        <v>56106952</v>
      </c>
      <c r="F1293" s="2">
        <v>16913844</v>
      </c>
      <c r="G1293" s="2">
        <f t="shared" si="40"/>
        <v>73020796</v>
      </c>
      <c r="H1293">
        <f t="shared" si="41"/>
        <v>0.67436585457845832</v>
      </c>
    </row>
    <row r="1294" spans="1:8">
      <c r="A1294" t="s">
        <v>90</v>
      </c>
      <c r="B1294">
        <v>45000</v>
      </c>
      <c r="C1294" t="s">
        <v>62</v>
      </c>
      <c r="D1294" s="2">
        <v>84160996</v>
      </c>
      <c r="E1294" s="2">
        <v>46049953</v>
      </c>
      <c r="F1294" s="2">
        <v>22987755</v>
      </c>
      <c r="G1294" s="2">
        <f t="shared" si="40"/>
        <v>69037708</v>
      </c>
      <c r="H1294">
        <f t="shared" si="41"/>
        <v>0.82030526349759458</v>
      </c>
    </row>
    <row r="1295" spans="1:8">
      <c r="A1295" t="s">
        <v>90</v>
      </c>
      <c r="B1295">
        <v>46000</v>
      </c>
      <c r="C1295" t="s">
        <v>63</v>
      </c>
      <c r="D1295" s="2">
        <v>124454763</v>
      </c>
      <c r="E1295" s="2">
        <v>96818862</v>
      </c>
      <c r="F1295" s="2">
        <v>28800531</v>
      </c>
      <c r="G1295" s="2">
        <f t="shared" si="40"/>
        <v>125619393</v>
      </c>
      <c r="H1295">
        <f t="shared" si="41"/>
        <v>1.0093578580033935</v>
      </c>
    </row>
    <row r="1296" spans="1:8">
      <c r="A1296" t="s">
        <v>90</v>
      </c>
      <c r="B1296">
        <v>47000</v>
      </c>
      <c r="C1296" t="s">
        <v>64</v>
      </c>
      <c r="D1296" s="2">
        <v>76241149</v>
      </c>
      <c r="E1296" s="2">
        <v>86239196</v>
      </c>
      <c r="F1296" s="2">
        <v>21566539</v>
      </c>
      <c r="G1296" s="2">
        <f t="shared" si="40"/>
        <v>107805735</v>
      </c>
      <c r="H1296">
        <f t="shared" si="41"/>
        <v>1.4140098413259747</v>
      </c>
    </row>
    <row r="1297" spans="1:8">
      <c r="A1297" t="s">
        <v>91</v>
      </c>
      <c r="B1297" s="1" t="s">
        <v>7</v>
      </c>
      <c r="C1297" t="s">
        <v>8</v>
      </c>
      <c r="D1297" s="2">
        <v>17353166880</v>
      </c>
      <c r="E1297" s="2">
        <v>2476830777</v>
      </c>
      <c r="F1297" s="2">
        <v>1042126546</v>
      </c>
      <c r="G1297" s="2">
        <f t="shared" si="40"/>
        <v>3518957323</v>
      </c>
      <c r="H1297">
        <f t="shared" si="41"/>
        <v>0.2027847336070798</v>
      </c>
    </row>
    <row r="1298" spans="1:8">
      <c r="A1298" t="s">
        <v>91</v>
      </c>
      <c r="B1298" s="1" t="s">
        <v>9</v>
      </c>
      <c r="C1298" t="s">
        <v>10</v>
      </c>
      <c r="D1298" s="2">
        <v>527461292</v>
      </c>
      <c r="E1298" s="2">
        <v>200767267</v>
      </c>
      <c r="F1298" s="2">
        <v>74539390</v>
      </c>
      <c r="G1298" s="2">
        <f t="shared" si="40"/>
        <v>275306657</v>
      </c>
      <c r="H1298">
        <f t="shared" si="41"/>
        <v>0.52194665499738702</v>
      </c>
    </row>
    <row r="1299" spans="1:8">
      <c r="A1299" t="s">
        <v>91</v>
      </c>
      <c r="B1299" s="1" t="s">
        <v>11</v>
      </c>
      <c r="C1299" t="s">
        <v>12</v>
      </c>
      <c r="D1299" s="2">
        <v>95723904</v>
      </c>
      <c r="E1299" s="2">
        <v>56636107</v>
      </c>
      <c r="F1299" s="2">
        <v>18297782</v>
      </c>
      <c r="G1299" s="2">
        <f t="shared" si="40"/>
        <v>74933889</v>
      </c>
      <c r="H1299">
        <f t="shared" si="41"/>
        <v>0.78281271311291278</v>
      </c>
    </row>
    <row r="1300" spans="1:8">
      <c r="A1300" t="s">
        <v>91</v>
      </c>
      <c r="B1300" s="1" t="s">
        <v>13</v>
      </c>
      <c r="C1300" t="s">
        <v>14</v>
      </c>
      <c r="D1300" s="2">
        <v>102304167</v>
      </c>
      <c r="E1300" s="2">
        <v>64456878</v>
      </c>
      <c r="F1300" s="2">
        <v>19107791</v>
      </c>
      <c r="G1300" s="2">
        <f t="shared" si="40"/>
        <v>83564669</v>
      </c>
      <c r="H1300">
        <f t="shared" si="41"/>
        <v>0.81682566263405476</v>
      </c>
    </row>
    <row r="1301" spans="1:8">
      <c r="A1301" t="s">
        <v>91</v>
      </c>
      <c r="B1301" s="1" t="s">
        <v>15</v>
      </c>
      <c r="C1301" t="s">
        <v>16</v>
      </c>
      <c r="D1301" s="2">
        <v>225252060</v>
      </c>
      <c r="E1301" s="2">
        <v>51989529</v>
      </c>
      <c r="F1301" s="2">
        <v>19109552</v>
      </c>
      <c r="G1301" s="2">
        <f t="shared" si="40"/>
        <v>71099081</v>
      </c>
      <c r="H1301">
        <f t="shared" si="41"/>
        <v>0.31564231199483817</v>
      </c>
    </row>
    <row r="1302" spans="1:8">
      <c r="A1302" t="s">
        <v>91</v>
      </c>
      <c r="B1302" s="1" t="s">
        <v>17</v>
      </c>
      <c r="C1302" t="s">
        <v>18</v>
      </c>
      <c r="D1302" s="2">
        <v>85438491</v>
      </c>
      <c r="E1302" s="2">
        <v>51450752</v>
      </c>
      <c r="F1302" s="2">
        <v>16731952</v>
      </c>
      <c r="G1302" s="2">
        <f t="shared" si="40"/>
        <v>68182704</v>
      </c>
      <c r="H1302">
        <f t="shared" si="41"/>
        <v>0.79803263379265443</v>
      </c>
    </row>
    <row r="1303" spans="1:8">
      <c r="A1303" t="s">
        <v>91</v>
      </c>
      <c r="B1303" s="1" t="s">
        <v>19</v>
      </c>
      <c r="C1303" t="s">
        <v>20</v>
      </c>
      <c r="D1303" s="2">
        <v>95255222</v>
      </c>
      <c r="E1303" s="2">
        <v>56654017</v>
      </c>
      <c r="F1303" s="2">
        <v>16869149</v>
      </c>
      <c r="G1303" s="2">
        <f t="shared" si="40"/>
        <v>73523166</v>
      </c>
      <c r="H1303">
        <f t="shared" si="41"/>
        <v>0.77185443964426437</v>
      </c>
    </row>
    <row r="1304" spans="1:8">
      <c r="A1304" t="s">
        <v>91</v>
      </c>
      <c r="B1304" s="1" t="s">
        <v>21</v>
      </c>
      <c r="C1304" t="s">
        <v>22</v>
      </c>
      <c r="D1304" s="2">
        <v>215283387</v>
      </c>
      <c r="E1304" s="2">
        <v>58758127</v>
      </c>
      <c r="F1304" s="2">
        <v>24394301</v>
      </c>
      <c r="G1304" s="2">
        <f t="shared" si="40"/>
        <v>83152428</v>
      </c>
      <c r="H1304">
        <f t="shared" si="41"/>
        <v>0.38624637580604398</v>
      </c>
    </row>
    <row r="1305" spans="1:8">
      <c r="A1305" t="s">
        <v>91</v>
      </c>
      <c r="B1305" s="1" t="s">
        <v>23</v>
      </c>
      <c r="C1305" t="s">
        <v>24</v>
      </c>
      <c r="D1305" s="2">
        <v>329090853</v>
      </c>
      <c r="E1305" s="2">
        <v>43980153</v>
      </c>
      <c r="F1305" s="2">
        <v>25292095</v>
      </c>
      <c r="G1305" s="2">
        <f t="shared" si="40"/>
        <v>69272248</v>
      </c>
      <c r="H1305">
        <f t="shared" si="41"/>
        <v>0.21049581709279536</v>
      </c>
    </row>
    <row r="1306" spans="1:8">
      <c r="A1306" t="s">
        <v>91</v>
      </c>
      <c r="B1306" s="1" t="s">
        <v>25</v>
      </c>
      <c r="C1306" t="s">
        <v>26</v>
      </c>
      <c r="D1306" s="2">
        <v>241666035</v>
      </c>
      <c r="E1306" s="2">
        <v>32755887</v>
      </c>
      <c r="F1306" s="2">
        <v>16279871</v>
      </c>
      <c r="G1306" s="2">
        <f t="shared" si="40"/>
        <v>49035758</v>
      </c>
      <c r="H1306">
        <f t="shared" si="41"/>
        <v>0.2029071151848045</v>
      </c>
    </row>
    <row r="1307" spans="1:8">
      <c r="A1307" t="s">
        <v>91</v>
      </c>
      <c r="B1307">
        <v>10000</v>
      </c>
      <c r="C1307" t="s">
        <v>27</v>
      </c>
      <c r="D1307" s="2">
        <v>224203500</v>
      </c>
      <c r="E1307" s="2">
        <v>40651295</v>
      </c>
      <c r="F1307" s="2">
        <v>19732552</v>
      </c>
      <c r="G1307" s="2">
        <f t="shared" si="40"/>
        <v>60383847</v>
      </c>
      <c r="H1307">
        <f t="shared" si="41"/>
        <v>0.26932606761268224</v>
      </c>
    </row>
    <row r="1308" spans="1:8">
      <c r="A1308" t="s">
        <v>91</v>
      </c>
      <c r="B1308">
        <v>11000</v>
      </c>
      <c r="C1308" t="s">
        <v>28</v>
      </c>
      <c r="D1308" s="2">
        <v>663318342</v>
      </c>
      <c r="E1308" s="2">
        <v>48315520</v>
      </c>
      <c r="F1308" s="2">
        <v>29955561</v>
      </c>
      <c r="G1308" s="2">
        <f t="shared" si="40"/>
        <v>78271081</v>
      </c>
      <c r="H1308">
        <f t="shared" si="41"/>
        <v>0.11799927130614458</v>
      </c>
    </row>
    <row r="1309" spans="1:8">
      <c r="A1309" t="s">
        <v>91</v>
      </c>
      <c r="B1309">
        <v>12000</v>
      </c>
      <c r="C1309" t="s">
        <v>29</v>
      </c>
      <c r="D1309" s="2">
        <v>595941689</v>
      </c>
      <c r="E1309" s="2">
        <v>54957661</v>
      </c>
      <c r="F1309" s="2">
        <v>33160399</v>
      </c>
      <c r="G1309" s="2">
        <f t="shared" si="40"/>
        <v>88118060</v>
      </c>
      <c r="H1309">
        <f t="shared" si="41"/>
        <v>0.14786356052362029</v>
      </c>
    </row>
    <row r="1310" spans="1:8">
      <c r="A1310" t="s">
        <v>91</v>
      </c>
      <c r="B1310">
        <v>13000</v>
      </c>
      <c r="C1310" t="s">
        <v>30</v>
      </c>
      <c r="D1310" s="2">
        <v>4716351915</v>
      </c>
      <c r="E1310" s="2">
        <v>91413770</v>
      </c>
      <c r="F1310" s="2">
        <v>60263172</v>
      </c>
      <c r="G1310" s="2">
        <f t="shared" si="40"/>
        <v>151676942</v>
      </c>
      <c r="H1310">
        <f t="shared" si="41"/>
        <v>3.2159801629221725E-2</v>
      </c>
    </row>
    <row r="1311" spans="1:8">
      <c r="A1311" t="s">
        <v>91</v>
      </c>
      <c r="B1311">
        <v>14000</v>
      </c>
      <c r="C1311" t="s">
        <v>31</v>
      </c>
      <c r="D1311" s="2">
        <v>1091409182</v>
      </c>
      <c r="E1311" s="2">
        <v>30301828</v>
      </c>
      <c r="F1311" s="2">
        <v>25327605</v>
      </c>
      <c r="G1311" s="2">
        <f t="shared" si="40"/>
        <v>55629433</v>
      </c>
      <c r="H1311">
        <f t="shared" si="41"/>
        <v>5.0970281281727391E-2</v>
      </c>
    </row>
    <row r="1312" spans="1:8">
      <c r="A1312" t="s">
        <v>91</v>
      </c>
      <c r="B1312">
        <v>15000</v>
      </c>
      <c r="C1312" t="s">
        <v>32</v>
      </c>
      <c r="D1312" s="2">
        <v>244891176</v>
      </c>
      <c r="E1312" s="2">
        <v>108306485</v>
      </c>
      <c r="F1312" s="2">
        <v>18497729</v>
      </c>
      <c r="G1312" s="2">
        <f t="shared" si="40"/>
        <v>126804214</v>
      </c>
      <c r="H1312">
        <f t="shared" si="41"/>
        <v>0.51779821580831475</v>
      </c>
    </row>
    <row r="1313" spans="1:8">
      <c r="A1313" t="s">
        <v>91</v>
      </c>
      <c r="B1313">
        <v>16000</v>
      </c>
      <c r="C1313" t="s">
        <v>33</v>
      </c>
      <c r="D1313" s="2">
        <v>133278608</v>
      </c>
      <c r="E1313" s="2">
        <v>38993379</v>
      </c>
      <c r="F1313" s="2">
        <v>14409497</v>
      </c>
      <c r="G1313" s="2">
        <f t="shared" si="40"/>
        <v>53402876</v>
      </c>
      <c r="H1313">
        <f t="shared" si="41"/>
        <v>0.40068602757315713</v>
      </c>
    </row>
    <row r="1314" spans="1:8">
      <c r="A1314" t="s">
        <v>91</v>
      </c>
      <c r="B1314">
        <v>17000</v>
      </c>
      <c r="C1314" t="s">
        <v>34</v>
      </c>
      <c r="D1314" s="2">
        <v>132541811</v>
      </c>
      <c r="E1314" s="2">
        <v>35721768</v>
      </c>
      <c r="F1314" s="2">
        <v>13721855</v>
      </c>
      <c r="G1314" s="2">
        <f t="shared" si="40"/>
        <v>49443623</v>
      </c>
      <c r="H1314">
        <f t="shared" si="41"/>
        <v>0.3730417037986602</v>
      </c>
    </row>
    <row r="1315" spans="1:8">
      <c r="A1315" t="s">
        <v>91</v>
      </c>
      <c r="B1315">
        <v>18000</v>
      </c>
      <c r="C1315" t="s">
        <v>35</v>
      </c>
      <c r="D1315" s="2">
        <v>103184253</v>
      </c>
      <c r="E1315" s="2">
        <v>35602589</v>
      </c>
      <c r="F1315" s="2">
        <v>13057241</v>
      </c>
      <c r="G1315" s="2">
        <f t="shared" si="40"/>
        <v>48659830</v>
      </c>
      <c r="H1315">
        <f t="shared" si="41"/>
        <v>0.47158193799203063</v>
      </c>
    </row>
    <row r="1316" spans="1:8">
      <c r="A1316" t="s">
        <v>91</v>
      </c>
      <c r="B1316">
        <v>19000</v>
      </c>
      <c r="C1316" t="s">
        <v>36</v>
      </c>
      <c r="D1316" s="2">
        <v>102578687</v>
      </c>
      <c r="E1316" s="2">
        <v>30385009</v>
      </c>
      <c r="F1316" s="2">
        <v>12701383</v>
      </c>
      <c r="G1316" s="2">
        <f t="shared" si="40"/>
        <v>43086392</v>
      </c>
      <c r="H1316">
        <f t="shared" si="41"/>
        <v>0.42003259410017602</v>
      </c>
    </row>
    <row r="1317" spans="1:8">
      <c r="A1317" t="s">
        <v>91</v>
      </c>
      <c r="B1317">
        <v>20000</v>
      </c>
      <c r="C1317" t="s">
        <v>37</v>
      </c>
      <c r="D1317" s="2">
        <v>234207139</v>
      </c>
      <c r="E1317" s="2">
        <v>60555410</v>
      </c>
      <c r="F1317" s="2">
        <v>22934076</v>
      </c>
      <c r="G1317" s="2">
        <f t="shared" si="40"/>
        <v>83489486</v>
      </c>
      <c r="H1317">
        <f t="shared" si="41"/>
        <v>0.3564771183170467</v>
      </c>
    </row>
    <row r="1318" spans="1:8">
      <c r="A1318" t="s">
        <v>91</v>
      </c>
      <c r="B1318">
        <v>21000</v>
      </c>
      <c r="C1318" t="s">
        <v>38</v>
      </c>
      <c r="D1318" s="2">
        <v>228471962</v>
      </c>
      <c r="E1318" s="2">
        <v>49957490</v>
      </c>
      <c r="F1318" s="2">
        <v>19220277</v>
      </c>
      <c r="G1318" s="2">
        <f t="shared" si="40"/>
        <v>69177767</v>
      </c>
      <c r="H1318">
        <f t="shared" si="41"/>
        <v>0.30278449221703624</v>
      </c>
    </row>
    <row r="1319" spans="1:8">
      <c r="A1319" t="s">
        <v>91</v>
      </c>
      <c r="B1319">
        <v>22000</v>
      </c>
      <c r="C1319" t="s">
        <v>39</v>
      </c>
      <c r="D1319" s="2">
        <v>502626251</v>
      </c>
      <c r="E1319" s="2">
        <v>54039377</v>
      </c>
      <c r="F1319" s="2">
        <v>22472385</v>
      </c>
      <c r="G1319" s="2">
        <f t="shared" si="40"/>
        <v>76511762</v>
      </c>
      <c r="H1319">
        <f t="shared" si="41"/>
        <v>0.15222396730727061</v>
      </c>
    </row>
    <row r="1320" spans="1:8">
      <c r="A1320" t="s">
        <v>91</v>
      </c>
      <c r="B1320">
        <v>23000</v>
      </c>
      <c r="C1320" t="s">
        <v>40</v>
      </c>
      <c r="D1320" s="2">
        <v>1166809266</v>
      </c>
      <c r="E1320" s="2">
        <v>60677280</v>
      </c>
      <c r="F1320" s="2">
        <v>34042025</v>
      </c>
      <c r="G1320" s="2">
        <f t="shared" si="40"/>
        <v>94719305</v>
      </c>
      <c r="H1320">
        <f t="shared" si="41"/>
        <v>8.1178053483164578E-2</v>
      </c>
    </row>
    <row r="1321" spans="1:8">
      <c r="A1321" t="s">
        <v>91</v>
      </c>
      <c r="B1321">
        <v>24000</v>
      </c>
      <c r="C1321" t="s">
        <v>41</v>
      </c>
      <c r="D1321" s="2">
        <v>208795878</v>
      </c>
      <c r="E1321" s="2">
        <v>37316325</v>
      </c>
      <c r="F1321" s="2">
        <v>14340680</v>
      </c>
      <c r="G1321" s="2">
        <f t="shared" si="40"/>
        <v>51657005</v>
      </c>
      <c r="H1321">
        <f t="shared" si="41"/>
        <v>0.24740433333650388</v>
      </c>
    </row>
    <row r="1322" spans="1:8">
      <c r="A1322" t="s">
        <v>91</v>
      </c>
      <c r="B1322">
        <v>25000</v>
      </c>
      <c r="C1322" t="s">
        <v>42</v>
      </c>
      <c r="D1322" s="2">
        <v>155481428</v>
      </c>
      <c r="E1322" s="2">
        <v>28332523</v>
      </c>
      <c r="F1322" s="2">
        <v>11164704</v>
      </c>
      <c r="G1322" s="2">
        <f t="shared" si="40"/>
        <v>39497227</v>
      </c>
      <c r="H1322">
        <f t="shared" si="41"/>
        <v>0.25403179986229607</v>
      </c>
    </row>
    <row r="1323" spans="1:8">
      <c r="A1323" t="s">
        <v>91</v>
      </c>
      <c r="B1323">
        <v>26000</v>
      </c>
      <c r="C1323" t="s">
        <v>43</v>
      </c>
      <c r="D1323" s="2">
        <v>328955789</v>
      </c>
      <c r="E1323" s="2">
        <v>25524706</v>
      </c>
      <c r="F1323" s="2">
        <v>14422851</v>
      </c>
      <c r="G1323" s="2">
        <f t="shared" si="40"/>
        <v>39947557</v>
      </c>
      <c r="H1323">
        <f t="shared" si="41"/>
        <v>0.12143746465577476</v>
      </c>
    </row>
    <row r="1324" spans="1:8">
      <c r="A1324" t="s">
        <v>91</v>
      </c>
      <c r="B1324">
        <v>27000</v>
      </c>
      <c r="C1324" t="s">
        <v>44</v>
      </c>
      <c r="D1324" s="2">
        <v>1473123158</v>
      </c>
      <c r="E1324" s="2">
        <v>59118452</v>
      </c>
      <c r="F1324" s="2">
        <v>40438998</v>
      </c>
      <c r="G1324" s="2">
        <f t="shared" si="40"/>
        <v>99557450</v>
      </c>
      <c r="H1324">
        <f t="shared" si="41"/>
        <v>6.7582570716738399E-2</v>
      </c>
    </row>
    <row r="1325" spans="1:8">
      <c r="A1325" t="s">
        <v>91</v>
      </c>
      <c r="B1325">
        <v>28000</v>
      </c>
      <c r="C1325" t="s">
        <v>45</v>
      </c>
      <c r="D1325" s="2">
        <v>640416021</v>
      </c>
      <c r="E1325" s="2">
        <v>62975998</v>
      </c>
      <c r="F1325" s="2">
        <v>34212984</v>
      </c>
      <c r="G1325" s="2">
        <f t="shared" si="40"/>
        <v>97188982</v>
      </c>
      <c r="H1325">
        <f t="shared" si="41"/>
        <v>0.15175913595703128</v>
      </c>
    </row>
    <row r="1326" spans="1:8">
      <c r="A1326" t="s">
        <v>91</v>
      </c>
      <c r="B1326">
        <v>29000</v>
      </c>
      <c r="C1326" t="s">
        <v>46</v>
      </c>
      <c r="D1326" s="2">
        <v>124630608</v>
      </c>
      <c r="E1326" s="2">
        <v>23237261</v>
      </c>
      <c r="F1326" s="2">
        <v>11143398</v>
      </c>
      <c r="G1326" s="2">
        <f t="shared" si="40"/>
        <v>34380659</v>
      </c>
      <c r="H1326">
        <f t="shared" si="41"/>
        <v>0.27586047722723139</v>
      </c>
    </row>
    <row r="1327" spans="1:8">
      <c r="A1327" t="s">
        <v>91</v>
      </c>
      <c r="B1327">
        <v>30000</v>
      </c>
      <c r="C1327" t="s">
        <v>47</v>
      </c>
      <c r="D1327" s="2">
        <v>103389077</v>
      </c>
      <c r="E1327" s="2">
        <v>31721919</v>
      </c>
      <c r="F1327" s="2">
        <v>13139224</v>
      </c>
      <c r="G1327" s="2">
        <f t="shared" si="40"/>
        <v>44861143</v>
      </c>
      <c r="H1327">
        <f t="shared" si="41"/>
        <v>0.43390602084589652</v>
      </c>
    </row>
    <row r="1328" spans="1:8">
      <c r="A1328" t="s">
        <v>91</v>
      </c>
      <c r="B1328">
        <v>31000</v>
      </c>
      <c r="C1328" t="s">
        <v>48</v>
      </c>
      <c r="D1328" s="2">
        <v>48121396</v>
      </c>
      <c r="E1328" s="2">
        <v>32195194</v>
      </c>
      <c r="F1328" s="2">
        <v>10415936</v>
      </c>
      <c r="G1328" s="2">
        <f t="shared" si="40"/>
        <v>42611130</v>
      </c>
      <c r="H1328">
        <f t="shared" si="41"/>
        <v>0.88549239095224919</v>
      </c>
    </row>
    <row r="1329" spans="1:8">
      <c r="A1329" t="s">
        <v>91</v>
      </c>
      <c r="B1329">
        <v>32000</v>
      </c>
      <c r="C1329" t="s">
        <v>49</v>
      </c>
      <c r="D1329" s="2">
        <v>59441031</v>
      </c>
      <c r="E1329" s="2">
        <v>52810253</v>
      </c>
      <c r="F1329" s="2">
        <v>13711589</v>
      </c>
      <c r="G1329" s="2">
        <f t="shared" si="40"/>
        <v>66521842</v>
      </c>
      <c r="H1329">
        <f t="shared" si="41"/>
        <v>1.1191232870775745</v>
      </c>
    </row>
    <row r="1330" spans="1:8">
      <c r="A1330" t="s">
        <v>91</v>
      </c>
      <c r="B1330">
        <v>33000</v>
      </c>
      <c r="C1330" t="s">
        <v>50</v>
      </c>
      <c r="D1330" s="2">
        <v>201345217</v>
      </c>
      <c r="E1330" s="2">
        <v>35528555</v>
      </c>
      <c r="F1330" s="2">
        <v>20558672</v>
      </c>
      <c r="G1330" s="2">
        <f t="shared" si="40"/>
        <v>56087227</v>
      </c>
      <c r="H1330">
        <f t="shared" si="41"/>
        <v>0.27856249994754034</v>
      </c>
    </row>
    <row r="1331" spans="1:8">
      <c r="A1331" t="s">
        <v>91</v>
      </c>
      <c r="B1331">
        <v>34000</v>
      </c>
      <c r="C1331" t="s">
        <v>51</v>
      </c>
      <c r="D1331" s="2">
        <v>313855640</v>
      </c>
      <c r="E1331" s="2">
        <v>50968568</v>
      </c>
      <c r="F1331" s="2">
        <v>40102504</v>
      </c>
      <c r="G1331" s="2">
        <f t="shared" si="40"/>
        <v>91071072</v>
      </c>
      <c r="H1331">
        <f t="shared" si="41"/>
        <v>0.2901686648039844</v>
      </c>
    </row>
    <row r="1332" spans="1:8">
      <c r="A1332" t="s">
        <v>91</v>
      </c>
      <c r="B1332">
        <v>35000</v>
      </c>
      <c r="C1332" t="s">
        <v>52</v>
      </c>
      <c r="D1332" s="2">
        <v>152758931</v>
      </c>
      <c r="E1332" s="2">
        <v>44127371</v>
      </c>
      <c r="F1332" s="2">
        <v>19030637</v>
      </c>
      <c r="G1332" s="2">
        <f t="shared" si="40"/>
        <v>63158008</v>
      </c>
      <c r="H1332">
        <f t="shared" si="41"/>
        <v>0.41344887389922885</v>
      </c>
    </row>
    <row r="1333" spans="1:8">
      <c r="A1333" t="s">
        <v>91</v>
      </c>
      <c r="B1333">
        <v>36000</v>
      </c>
      <c r="C1333" t="s">
        <v>53</v>
      </c>
      <c r="D1333" s="2">
        <v>69112909</v>
      </c>
      <c r="E1333" s="2">
        <v>36853469</v>
      </c>
      <c r="F1333" s="2">
        <v>11590535</v>
      </c>
      <c r="G1333" s="2">
        <f t="shared" si="40"/>
        <v>48444004</v>
      </c>
      <c r="H1333">
        <f t="shared" si="41"/>
        <v>0.70094002265191879</v>
      </c>
    </row>
    <row r="1334" spans="1:8">
      <c r="A1334" t="s">
        <v>91</v>
      </c>
      <c r="B1334">
        <v>37000</v>
      </c>
      <c r="C1334" t="s">
        <v>54</v>
      </c>
      <c r="D1334" s="2">
        <v>110333245</v>
      </c>
      <c r="E1334" s="2">
        <v>21425361</v>
      </c>
      <c r="F1334" s="2">
        <v>11051528</v>
      </c>
      <c r="G1334" s="2">
        <f t="shared" si="40"/>
        <v>32476889</v>
      </c>
      <c r="H1334">
        <f t="shared" si="41"/>
        <v>0.29435270393796537</v>
      </c>
    </row>
    <row r="1335" spans="1:8">
      <c r="A1335" t="s">
        <v>91</v>
      </c>
      <c r="B1335">
        <v>38000</v>
      </c>
      <c r="C1335" t="s">
        <v>55</v>
      </c>
      <c r="D1335" s="2">
        <v>125783020</v>
      </c>
      <c r="E1335" s="2">
        <v>46094280</v>
      </c>
      <c r="F1335" s="2">
        <v>14878223</v>
      </c>
      <c r="G1335" s="2">
        <f t="shared" si="40"/>
        <v>60972503</v>
      </c>
      <c r="H1335">
        <f t="shared" si="41"/>
        <v>0.48474351307513525</v>
      </c>
    </row>
    <row r="1336" spans="1:8">
      <c r="A1336" t="s">
        <v>91</v>
      </c>
      <c r="B1336">
        <v>39000</v>
      </c>
      <c r="C1336" t="s">
        <v>56</v>
      </c>
      <c r="D1336" s="2">
        <v>58106137</v>
      </c>
      <c r="E1336" s="2">
        <v>50090908</v>
      </c>
      <c r="F1336" s="2">
        <v>14195680</v>
      </c>
      <c r="G1336" s="2">
        <f t="shared" si="40"/>
        <v>64286588</v>
      </c>
      <c r="H1336">
        <f t="shared" si="41"/>
        <v>1.106364857811835</v>
      </c>
    </row>
    <row r="1337" spans="1:8">
      <c r="A1337" t="s">
        <v>91</v>
      </c>
      <c r="B1337">
        <v>40000</v>
      </c>
      <c r="C1337" t="s">
        <v>57</v>
      </c>
      <c r="D1337" s="2">
        <v>458759575</v>
      </c>
      <c r="E1337" s="2">
        <v>46925390</v>
      </c>
      <c r="F1337" s="2">
        <v>37203738</v>
      </c>
      <c r="G1337" s="2">
        <f t="shared" si="40"/>
        <v>84129128</v>
      </c>
      <c r="H1337">
        <f t="shared" si="41"/>
        <v>0.18338391738199689</v>
      </c>
    </row>
    <row r="1338" spans="1:8">
      <c r="A1338" t="s">
        <v>91</v>
      </c>
      <c r="B1338">
        <v>41000</v>
      </c>
      <c r="C1338" t="s">
        <v>58</v>
      </c>
      <c r="D1338" s="2">
        <v>67800329</v>
      </c>
      <c r="E1338" s="2">
        <v>38725495</v>
      </c>
      <c r="F1338" s="2">
        <v>11569563</v>
      </c>
      <c r="G1338" s="2">
        <f t="shared" si="40"/>
        <v>50295058</v>
      </c>
      <c r="H1338">
        <f t="shared" si="41"/>
        <v>0.74181141510390014</v>
      </c>
    </row>
    <row r="1339" spans="1:8">
      <c r="A1339" t="s">
        <v>91</v>
      </c>
      <c r="B1339">
        <v>42000</v>
      </c>
      <c r="C1339" t="s">
        <v>59</v>
      </c>
      <c r="D1339" s="2">
        <v>100680223</v>
      </c>
      <c r="E1339" s="2">
        <v>66270098</v>
      </c>
      <c r="F1339" s="2">
        <v>24549792</v>
      </c>
      <c r="G1339" s="2">
        <f t="shared" si="40"/>
        <v>90819890</v>
      </c>
      <c r="H1339">
        <f t="shared" si="41"/>
        <v>0.90206286094539145</v>
      </c>
    </row>
    <row r="1340" spans="1:8">
      <c r="A1340" t="s">
        <v>91</v>
      </c>
      <c r="B1340">
        <v>43000</v>
      </c>
      <c r="C1340" t="s">
        <v>60</v>
      </c>
      <c r="D1340" s="2">
        <v>132900270</v>
      </c>
      <c r="E1340" s="2">
        <v>62292930</v>
      </c>
      <c r="F1340" s="2">
        <v>18851189</v>
      </c>
      <c r="G1340" s="2">
        <f t="shared" si="40"/>
        <v>81144119</v>
      </c>
      <c r="H1340">
        <f t="shared" si="41"/>
        <v>0.6105639890724075</v>
      </c>
    </row>
    <row r="1341" spans="1:8">
      <c r="A1341" t="s">
        <v>91</v>
      </c>
      <c r="B1341">
        <v>44000</v>
      </c>
      <c r="C1341" t="s">
        <v>61</v>
      </c>
      <c r="D1341" s="2">
        <v>94905669</v>
      </c>
      <c r="E1341" s="2">
        <v>51657917</v>
      </c>
      <c r="F1341" s="2">
        <v>16830674</v>
      </c>
      <c r="G1341" s="2">
        <f t="shared" si="40"/>
        <v>68488591</v>
      </c>
      <c r="H1341">
        <f t="shared" si="41"/>
        <v>0.72164910401716886</v>
      </c>
    </row>
    <row r="1342" spans="1:8">
      <c r="A1342" t="s">
        <v>91</v>
      </c>
      <c r="B1342">
        <v>45000</v>
      </c>
      <c r="C1342" t="s">
        <v>62</v>
      </c>
      <c r="D1342" s="2">
        <v>79051018</v>
      </c>
      <c r="E1342" s="2">
        <v>46445983</v>
      </c>
      <c r="F1342" s="2">
        <v>17889064</v>
      </c>
      <c r="G1342" s="2">
        <f t="shared" si="40"/>
        <v>64335047</v>
      </c>
      <c r="H1342">
        <f t="shared" si="41"/>
        <v>0.81384210637236831</v>
      </c>
    </row>
    <row r="1343" spans="1:8">
      <c r="A1343" t="s">
        <v>91</v>
      </c>
      <c r="B1343">
        <v>46000</v>
      </c>
      <c r="C1343" t="s">
        <v>63</v>
      </c>
      <c r="D1343" s="2">
        <v>118362928</v>
      </c>
      <c r="E1343" s="2">
        <v>92400425</v>
      </c>
      <c r="F1343" s="2">
        <v>29494789</v>
      </c>
      <c r="G1343" s="2">
        <f t="shared" si="40"/>
        <v>121895214</v>
      </c>
      <c r="H1343">
        <f t="shared" si="41"/>
        <v>1.0298428406570004</v>
      </c>
    </row>
    <row r="1344" spans="1:8">
      <c r="A1344" t="s">
        <v>91</v>
      </c>
      <c r="B1344">
        <v>47000</v>
      </c>
      <c r="C1344" t="s">
        <v>64</v>
      </c>
      <c r="D1344" s="2">
        <v>69768191</v>
      </c>
      <c r="E1344" s="2">
        <v>76463818</v>
      </c>
      <c r="F1344" s="2">
        <v>21221954</v>
      </c>
      <c r="G1344" s="2">
        <f t="shared" si="40"/>
        <v>97685772</v>
      </c>
      <c r="H1344">
        <f t="shared" si="41"/>
        <v>1.4001476976807381</v>
      </c>
    </row>
    <row r="1345" spans="1:8">
      <c r="A1345" t="s">
        <v>92</v>
      </c>
      <c r="B1345" s="1" t="s">
        <v>7</v>
      </c>
      <c r="C1345" t="s">
        <v>8</v>
      </c>
      <c r="D1345" s="2">
        <v>16482170918</v>
      </c>
      <c r="E1345" s="2">
        <v>2457271423</v>
      </c>
      <c r="F1345" s="2">
        <v>1007701977</v>
      </c>
      <c r="G1345" s="2">
        <f t="shared" si="40"/>
        <v>3464973400</v>
      </c>
      <c r="H1345">
        <f t="shared" si="41"/>
        <v>0.21022554718298306</v>
      </c>
    </row>
    <row r="1346" spans="1:8">
      <c r="A1346" t="s">
        <v>92</v>
      </c>
      <c r="B1346" s="1" t="s">
        <v>9</v>
      </c>
      <c r="C1346" t="s">
        <v>10</v>
      </c>
      <c r="D1346" s="2">
        <v>494654130</v>
      </c>
      <c r="E1346" s="2">
        <v>204102758</v>
      </c>
      <c r="F1346" s="2">
        <v>69548118</v>
      </c>
      <c r="G1346" s="2">
        <f t="shared" si="40"/>
        <v>273650876</v>
      </c>
      <c r="H1346">
        <f t="shared" si="41"/>
        <v>0.55321660005143392</v>
      </c>
    </row>
    <row r="1347" spans="1:8">
      <c r="A1347" t="s">
        <v>92</v>
      </c>
      <c r="B1347" s="1" t="s">
        <v>11</v>
      </c>
      <c r="C1347" t="s">
        <v>12</v>
      </c>
      <c r="D1347" s="2">
        <v>89634848</v>
      </c>
      <c r="E1347" s="2">
        <v>57909580</v>
      </c>
      <c r="F1347" s="2">
        <v>16935164</v>
      </c>
      <c r="G1347" s="2">
        <f t="shared" ref="G1347:G1392" si="42">E1347+F1347</f>
        <v>74844744</v>
      </c>
      <c r="H1347">
        <f t="shared" ref="H1347:H1392" si="43">G1347/D1347</f>
        <v>0.83499604975065056</v>
      </c>
    </row>
    <row r="1348" spans="1:8">
      <c r="A1348" t="s">
        <v>92</v>
      </c>
      <c r="B1348" s="1" t="s">
        <v>13</v>
      </c>
      <c r="C1348" t="s">
        <v>14</v>
      </c>
      <c r="D1348" s="2">
        <v>93757822</v>
      </c>
      <c r="E1348" s="2">
        <v>65358258</v>
      </c>
      <c r="F1348" s="2">
        <v>18239841</v>
      </c>
      <c r="G1348" s="2">
        <f t="shared" si="42"/>
        <v>83598099</v>
      </c>
      <c r="H1348">
        <f t="shared" si="43"/>
        <v>0.89163866242541345</v>
      </c>
    </row>
    <row r="1349" spans="1:8">
      <c r="A1349" t="s">
        <v>92</v>
      </c>
      <c r="B1349" s="1" t="s">
        <v>15</v>
      </c>
      <c r="C1349" t="s">
        <v>16</v>
      </c>
      <c r="D1349" s="2">
        <v>214634706</v>
      </c>
      <c r="E1349" s="2">
        <v>50163863</v>
      </c>
      <c r="F1349" s="2">
        <v>18012619</v>
      </c>
      <c r="G1349" s="2">
        <f t="shared" si="42"/>
        <v>68176482</v>
      </c>
      <c r="H1349">
        <f t="shared" si="43"/>
        <v>0.31763959925474494</v>
      </c>
    </row>
    <row r="1350" spans="1:8">
      <c r="A1350" t="s">
        <v>92</v>
      </c>
      <c r="B1350" s="1" t="s">
        <v>17</v>
      </c>
      <c r="C1350" t="s">
        <v>18</v>
      </c>
      <c r="D1350" s="2">
        <v>79037659</v>
      </c>
      <c r="E1350" s="2">
        <v>50112510</v>
      </c>
      <c r="F1350" s="2">
        <v>20150728</v>
      </c>
      <c r="G1350" s="2">
        <f t="shared" si="42"/>
        <v>70263238</v>
      </c>
      <c r="H1350">
        <f t="shared" si="43"/>
        <v>0.88898430050920407</v>
      </c>
    </row>
    <row r="1351" spans="1:8">
      <c r="A1351" t="s">
        <v>92</v>
      </c>
      <c r="B1351" s="1" t="s">
        <v>19</v>
      </c>
      <c r="C1351" t="s">
        <v>20</v>
      </c>
      <c r="D1351" s="2">
        <v>89108211</v>
      </c>
      <c r="E1351" s="2">
        <v>59891241</v>
      </c>
      <c r="F1351" s="2">
        <v>16340258</v>
      </c>
      <c r="G1351" s="2">
        <f t="shared" si="42"/>
        <v>76231499</v>
      </c>
      <c r="H1351">
        <f t="shared" si="43"/>
        <v>0.85549354144255008</v>
      </c>
    </row>
    <row r="1352" spans="1:8">
      <c r="A1352" t="s">
        <v>92</v>
      </c>
      <c r="B1352" s="1" t="s">
        <v>21</v>
      </c>
      <c r="C1352" t="s">
        <v>22</v>
      </c>
      <c r="D1352" s="2">
        <v>195834000</v>
      </c>
      <c r="E1352" s="2">
        <v>62690391</v>
      </c>
      <c r="F1352" s="2">
        <v>24095331</v>
      </c>
      <c r="G1352" s="2">
        <f t="shared" si="42"/>
        <v>86785722</v>
      </c>
      <c r="H1352">
        <f t="shared" si="43"/>
        <v>0.44315962498851069</v>
      </c>
    </row>
    <row r="1353" spans="1:8">
      <c r="A1353" t="s">
        <v>92</v>
      </c>
      <c r="B1353" s="1" t="s">
        <v>23</v>
      </c>
      <c r="C1353" t="s">
        <v>24</v>
      </c>
      <c r="D1353" s="2">
        <v>291906817</v>
      </c>
      <c r="E1353" s="2">
        <v>45296221</v>
      </c>
      <c r="F1353" s="2">
        <v>23577971</v>
      </c>
      <c r="G1353" s="2">
        <f t="shared" si="42"/>
        <v>68874192</v>
      </c>
      <c r="H1353">
        <f t="shared" si="43"/>
        <v>0.23594581554428035</v>
      </c>
    </row>
    <row r="1354" spans="1:8">
      <c r="A1354" t="s">
        <v>92</v>
      </c>
      <c r="B1354" s="1" t="s">
        <v>25</v>
      </c>
      <c r="C1354" t="s">
        <v>26</v>
      </c>
      <c r="D1354" s="2">
        <v>215548978</v>
      </c>
      <c r="E1354" s="2">
        <v>32431054</v>
      </c>
      <c r="F1354" s="2">
        <v>16402197</v>
      </c>
      <c r="G1354" s="2">
        <f t="shared" si="42"/>
        <v>48833251</v>
      </c>
      <c r="H1354">
        <f t="shared" si="43"/>
        <v>0.22655292292779974</v>
      </c>
    </row>
    <row r="1355" spans="1:8">
      <c r="A1355" t="s">
        <v>92</v>
      </c>
      <c r="B1355">
        <v>10000</v>
      </c>
      <c r="C1355" t="s">
        <v>27</v>
      </c>
      <c r="D1355" s="2">
        <v>204871012</v>
      </c>
      <c r="E1355" s="2">
        <v>37736605</v>
      </c>
      <c r="F1355" s="2">
        <v>20124149</v>
      </c>
      <c r="G1355" s="2">
        <f t="shared" si="42"/>
        <v>57860754</v>
      </c>
      <c r="H1355">
        <f t="shared" si="43"/>
        <v>0.28242528523264188</v>
      </c>
    </row>
    <row r="1356" spans="1:8">
      <c r="A1356" t="s">
        <v>92</v>
      </c>
      <c r="B1356">
        <v>11000</v>
      </c>
      <c r="C1356" t="s">
        <v>28</v>
      </c>
      <c r="D1356" s="2">
        <v>603909103</v>
      </c>
      <c r="E1356" s="2">
        <v>44895751</v>
      </c>
      <c r="F1356" s="2">
        <v>27743072</v>
      </c>
      <c r="G1356" s="2">
        <f t="shared" si="42"/>
        <v>72638823</v>
      </c>
      <c r="H1356">
        <f t="shared" si="43"/>
        <v>0.12028105328957096</v>
      </c>
    </row>
    <row r="1357" spans="1:8">
      <c r="A1357" t="s">
        <v>92</v>
      </c>
      <c r="B1357">
        <v>12000</v>
      </c>
      <c r="C1357" t="s">
        <v>29</v>
      </c>
      <c r="D1357" s="2">
        <v>543825806</v>
      </c>
      <c r="E1357" s="2">
        <v>48841328</v>
      </c>
      <c r="F1357" s="2">
        <v>32190090</v>
      </c>
      <c r="G1357" s="2">
        <f t="shared" si="42"/>
        <v>81031418</v>
      </c>
      <c r="H1357">
        <f t="shared" si="43"/>
        <v>0.1490025245326442</v>
      </c>
    </row>
    <row r="1358" spans="1:8">
      <c r="A1358" t="s">
        <v>92</v>
      </c>
      <c r="B1358">
        <v>13000</v>
      </c>
      <c r="C1358" t="s">
        <v>30</v>
      </c>
      <c r="D1358" s="2">
        <v>4774317841</v>
      </c>
      <c r="E1358" s="2">
        <v>95146089</v>
      </c>
      <c r="F1358" s="2">
        <v>60899073</v>
      </c>
      <c r="G1358" s="2">
        <f t="shared" si="42"/>
        <v>156045162</v>
      </c>
      <c r="H1358">
        <f t="shared" si="43"/>
        <v>3.2684284372511682E-2</v>
      </c>
    </row>
    <row r="1359" spans="1:8">
      <c r="A1359" t="s">
        <v>92</v>
      </c>
      <c r="B1359">
        <v>14000</v>
      </c>
      <c r="C1359" t="s">
        <v>31</v>
      </c>
      <c r="D1359" s="2">
        <v>1021957744</v>
      </c>
      <c r="E1359" s="2">
        <v>27730304</v>
      </c>
      <c r="F1359" s="2">
        <v>24071020</v>
      </c>
      <c r="G1359" s="2">
        <f t="shared" si="42"/>
        <v>51801324</v>
      </c>
      <c r="H1359">
        <f t="shared" si="43"/>
        <v>5.0688322784508397E-2</v>
      </c>
    </row>
    <row r="1360" spans="1:8">
      <c r="A1360" t="s">
        <v>92</v>
      </c>
      <c r="B1360">
        <v>15000</v>
      </c>
      <c r="C1360" t="s">
        <v>32</v>
      </c>
      <c r="D1360" s="2">
        <v>227851755</v>
      </c>
      <c r="E1360" s="2">
        <v>99612169</v>
      </c>
      <c r="F1360" s="2">
        <v>26465887</v>
      </c>
      <c r="G1360" s="2">
        <f t="shared" si="42"/>
        <v>126078056</v>
      </c>
      <c r="H1360">
        <f t="shared" si="43"/>
        <v>0.55333370594402487</v>
      </c>
    </row>
    <row r="1361" spans="1:8">
      <c r="A1361" t="s">
        <v>92</v>
      </c>
      <c r="B1361">
        <v>16000</v>
      </c>
      <c r="C1361" t="s">
        <v>33</v>
      </c>
      <c r="D1361" s="2">
        <v>123926202</v>
      </c>
      <c r="E1361" s="2">
        <v>40905335</v>
      </c>
      <c r="F1361" s="2">
        <v>12249605</v>
      </c>
      <c r="G1361" s="2">
        <f t="shared" si="42"/>
        <v>53154940</v>
      </c>
      <c r="H1361">
        <f t="shared" si="43"/>
        <v>0.42892414309606613</v>
      </c>
    </row>
    <row r="1362" spans="1:8">
      <c r="A1362" t="s">
        <v>92</v>
      </c>
      <c r="B1362">
        <v>17000</v>
      </c>
      <c r="C1362" t="s">
        <v>34</v>
      </c>
      <c r="D1362" s="2">
        <v>118746455</v>
      </c>
      <c r="E1362" s="2">
        <v>36645944</v>
      </c>
      <c r="F1362" s="2">
        <v>13076297</v>
      </c>
      <c r="G1362" s="2">
        <f t="shared" si="42"/>
        <v>49722241</v>
      </c>
      <c r="H1362">
        <f t="shared" si="43"/>
        <v>0.41872610849730207</v>
      </c>
    </row>
    <row r="1363" spans="1:8">
      <c r="A1363" t="s">
        <v>92</v>
      </c>
      <c r="B1363">
        <v>18000</v>
      </c>
      <c r="C1363" t="s">
        <v>35</v>
      </c>
      <c r="D1363" s="2">
        <v>99932559</v>
      </c>
      <c r="E1363" s="2">
        <v>33864416</v>
      </c>
      <c r="F1363" s="2">
        <v>10141845</v>
      </c>
      <c r="G1363" s="2">
        <f t="shared" si="42"/>
        <v>44006261</v>
      </c>
      <c r="H1363">
        <f t="shared" si="43"/>
        <v>0.44035959291305649</v>
      </c>
    </row>
    <row r="1364" spans="1:8">
      <c r="A1364" t="s">
        <v>92</v>
      </c>
      <c r="B1364">
        <v>19000</v>
      </c>
      <c r="C1364" t="s">
        <v>36</v>
      </c>
      <c r="D1364" s="2">
        <v>88461974</v>
      </c>
      <c r="E1364" s="2">
        <v>29657787</v>
      </c>
      <c r="F1364" s="2">
        <v>12723502</v>
      </c>
      <c r="G1364" s="2">
        <f t="shared" si="42"/>
        <v>42381289</v>
      </c>
      <c r="H1364">
        <f t="shared" si="43"/>
        <v>0.47909047338238236</v>
      </c>
    </row>
    <row r="1365" spans="1:8">
      <c r="A1365" t="s">
        <v>92</v>
      </c>
      <c r="B1365">
        <v>20000</v>
      </c>
      <c r="C1365" t="s">
        <v>37</v>
      </c>
      <c r="D1365" s="2">
        <v>218166193</v>
      </c>
      <c r="E1365" s="2">
        <v>63017565</v>
      </c>
      <c r="F1365" s="2">
        <v>22945516</v>
      </c>
      <c r="G1365" s="2">
        <f t="shared" si="42"/>
        <v>85963081</v>
      </c>
      <c r="H1365">
        <f t="shared" si="43"/>
        <v>0.39402567289607515</v>
      </c>
    </row>
    <row r="1366" spans="1:8">
      <c r="A1366" t="s">
        <v>92</v>
      </c>
      <c r="B1366">
        <v>21000</v>
      </c>
      <c r="C1366" t="s">
        <v>38</v>
      </c>
      <c r="D1366" s="2">
        <v>212155549</v>
      </c>
      <c r="E1366" s="2">
        <v>49127889</v>
      </c>
      <c r="F1366" s="2">
        <v>18619588</v>
      </c>
      <c r="G1366" s="2">
        <f t="shared" si="42"/>
        <v>67747477</v>
      </c>
      <c r="H1366">
        <f t="shared" si="43"/>
        <v>0.31932927193905258</v>
      </c>
    </row>
    <row r="1367" spans="1:8">
      <c r="A1367" t="s">
        <v>92</v>
      </c>
      <c r="B1367">
        <v>22000</v>
      </c>
      <c r="C1367" t="s">
        <v>39</v>
      </c>
      <c r="D1367" s="2">
        <v>450556782</v>
      </c>
      <c r="E1367" s="2">
        <v>54322814</v>
      </c>
      <c r="F1367" s="2">
        <v>21075930</v>
      </c>
      <c r="G1367" s="2">
        <f t="shared" si="42"/>
        <v>75398744</v>
      </c>
      <c r="H1367">
        <f t="shared" si="43"/>
        <v>0.16734570871468982</v>
      </c>
    </row>
    <row r="1368" spans="1:8">
      <c r="A1368" t="s">
        <v>92</v>
      </c>
      <c r="B1368">
        <v>23000</v>
      </c>
      <c r="C1368" t="s">
        <v>40</v>
      </c>
      <c r="D1368" s="2">
        <v>1062228726</v>
      </c>
      <c r="E1368" s="2">
        <v>61029249</v>
      </c>
      <c r="F1368" s="2">
        <v>31832069</v>
      </c>
      <c r="G1368" s="2">
        <f t="shared" si="42"/>
        <v>92861318</v>
      </c>
      <c r="H1368">
        <f t="shared" si="43"/>
        <v>8.7421207624166622E-2</v>
      </c>
    </row>
    <row r="1369" spans="1:8">
      <c r="A1369" t="s">
        <v>92</v>
      </c>
      <c r="B1369">
        <v>24000</v>
      </c>
      <c r="C1369" t="s">
        <v>41</v>
      </c>
      <c r="D1369" s="2">
        <v>197151232</v>
      </c>
      <c r="E1369" s="2">
        <v>39118073</v>
      </c>
      <c r="F1369" s="2">
        <v>13756575</v>
      </c>
      <c r="G1369" s="2">
        <f t="shared" si="42"/>
        <v>52874648</v>
      </c>
      <c r="H1369">
        <f t="shared" si="43"/>
        <v>0.26819334306772175</v>
      </c>
    </row>
    <row r="1370" spans="1:8">
      <c r="A1370" t="s">
        <v>92</v>
      </c>
      <c r="B1370">
        <v>25000</v>
      </c>
      <c r="C1370" t="s">
        <v>42</v>
      </c>
      <c r="D1370" s="2">
        <v>137837592</v>
      </c>
      <c r="E1370" s="2">
        <v>27155964</v>
      </c>
      <c r="F1370" s="2">
        <v>10394887</v>
      </c>
      <c r="G1370" s="2">
        <f t="shared" si="42"/>
        <v>37550851</v>
      </c>
      <c r="H1370">
        <f t="shared" si="43"/>
        <v>0.27242822843277759</v>
      </c>
    </row>
    <row r="1371" spans="1:8">
      <c r="A1371" t="s">
        <v>92</v>
      </c>
      <c r="B1371">
        <v>26000</v>
      </c>
      <c r="C1371" t="s">
        <v>43</v>
      </c>
      <c r="D1371" s="2">
        <v>303508191</v>
      </c>
      <c r="E1371" s="2">
        <v>24730111</v>
      </c>
      <c r="F1371" s="2">
        <v>13793887</v>
      </c>
      <c r="G1371" s="2">
        <f t="shared" si="42"/>
        <v>38523998</v>
      </c>
      <c r="H1371">
        <f t="shared" si="43"/>
        <v>0.12692902248559085</v>
      </c>
    </row>
    <row r="1372" spans="1:8">
      <c r="A1372" t="s">
        <v>92</v>
      </c>
      <c r="B1372">
        <v>27000</v>
      </c>
      <c r="C1372" t="s">
        <v>44</v>
      </c>
      <c r="D1372" s="2">
        <v>1407530327</v>
      </c>
      <c r="E1372" s="2">
        <v>57593131</v>
      </c>
      <c r="F1372" s="2">
        <v>37105678</v>
      </c>
      <c r="G1372" s="2">
        <f t="shared" si="42"/>
        <v>94698809</v>
      </c>
      <c r="H1372">
        <f t="shared" si="43"/>
        <v>6.728011978387731E-2</v>
      </c>
    </row>
    <row r="1373" spans="1:8">
      <c r="A1373" t="s">
        <v>92</v>
      </c>
      <c r="B1373">
        <v>28000</v>
      </c>
      <c r="C1373" t="s">
        <v>45</v>
      </c>
      <c r="D1373" s="2">
        <v>599837785</v>
      </c>
      <c r="E1373" s="2">
        <v>58953417</v>
      </c>
      <c r="F1373" s="2">
        <v>32431295</v>
      </c>
      <c r="G1373" s="2">
        <f t="shared" si="42"/>
        <v>91384712</v>
      </c>
      <c r="H1373">
        <f t="shared" si="43"/>
        <v>0.15234904216645839</v>
      </c>
    </row>
    <row r="1374" spans="1:8">
      <c r="A1374" t="s">
        <v>92</v>
      </c>
      <c r="B1374">
        <v>29000</v>
      </c>
      <c r="C1374" t="s">
        <v>46</v>
      </c>
      <c r="D1374" s="2">
        <v>109731803</v>
      </c>
      <c r="E1374" s="2">
        <v>23679494</v>
      </c>
      <c r="F1374" s="2">
        <v>10857790</v>
      </c>
      <c r="G1374" s="2">
        <f t="shared" si="42"/>
        <v>34537284</v>
      </c>
      <c r="H1374">
        <f t="shared" si="43"/>
        <v>0.31474270043662728</v>
      </c>
    </row>
    <row r="1375" spans="1:8">
      <c r="A1375" t="s">
        <v>92</v>
      </c>
      <c r="B1375">
        <v>30000</v>
      </c>
      <c r="C1375" t="s">
        <v>47</v>
      </c>
      <c r="D1375" s="2">
        <v>92220069</v>
      </c>
      <c r="E1375" s="2">
        <v>30810665</v>
      </c>
      <c r="F1375" s="2">
        <v>12452742</v>
      </c>
      <c r="G1375" s="2">
        <f t="shared" si="42"/>
        <v>43263407</v>
      </c>
      <c r="H1375">
        <f t="shared" si="43"/>
        <v>0.46913223411272875</v>
      </c>
    </row>
    <row r="1376" spans="1:8">
      <c r="A1376" t="s">
        <v>92</v>
      </c>
      <c r="B1376">
        <v>31000</v>
      </c>
      <c r="C1376" t="s">
        <v>48</v>
      </c>
      <c r="D1376" s="2">
        <v>45792323</v>
      </c>
      <c r="E1376" s="2">
        <v>35158300</v>
      </c>
      <c r="F1376" s="2">
        <v>9436980</v>
      </c>
      <c r="G1376" s="2">
        <f t="shared" si="42"/>
        <v>44595280</v>
      </c>
      <c r="H1376">
        <f t="shared" si="43"/>
        <v>0.97385930825129796</v>
      </c>
    </row>
    <row r="1377" spans="1:8">
      <c r="A1377" t="s">
        <v>92</v>
      </c>
      <c r="B1377">
        <v>32000</v>
      </c>
      <c r="C1377" t="s">
        <v>49</v>
      </c>
      <c r="D1377" s="2">
        <v>58280102</v>
      </c>
      <c r="E1377" s="2">
        <v>56584814</v>
      </c>
      <c r="F1377" s="2">
        <v>12677863</v>
      </c>
      <c r="G1377" s="2">
        <f t="shared" si="42"/>
        <v>69262677</v>
      </c>
      <c r="H1377">
        <f t="shared" si="43"/>
        <v>1.1884446770528987</v>
      </c>
    </row>
    <row r="1378" spans="1:8">
      <c r="A1378" t="s">
        <v>92</v>
      </c>
      <c r="B1378">
        <v>33000</v>
      </c>
      <c r="C1378" t="s">
        <v>50</v>
      </c>
      <c r="D1378" s="2">
        <v>186954937</v>
      </c>
      <c r="E1378" s="2">
        <v>36766990</v>
      </c>
      <c r="F1378" s="2">
        <v>20471779</v>
      </c>
      <c r="G1378" s="2">
        <f t="shared" si="42"/>
        <v>57238769</v>
      </c>
      <c r="H1378">
        <f t="shared" si="43"/>
        <v>0.30616345263992678</v>
      </c>
    </row>
    <row r="1379" spans="1:8">
      <c r="A1379" t="s">
        <v>92</v>
      </c>
      <c r="B1379">
        <v>34000</v>
      </c>
      <c r="C1379" t="s">
        <v>51</v>
      </c>
      <c r="D1379" s="2">
        <v>294830246</v>
      </c>
      <c r="E1379" s="2">
        <v>51647675</v>
      </c>
      <c r="F1379" s="2">
        <v>38198406</v>
      </c>
      <c r="G1379" s="2">
        <f t="shared" si="42"/>
        <v>89846081</v>
      </c>
      <c r="H1379">
        <f t="shared" si="43"/>
        <v>0.30473834424708246</v>
      </c>
    </row>
    <row r="1380" spans="1:8">
      <c r="A1380" t="s">
        <v>92</v>
      </c>
      <c r="B1380">
        <v>35000</v>
      </c>
      <c r="C1380" t="s">
        <v>52</v>
      </c>
      <c r="D1380" s="2">
        <v>149055301</v>
      </c>
      <c r="E1380" s="2">
        <v>40452371</v>
      </c>
      <c r="F1380" s="2">
        <v>18288092</v>
      </c>
      <c r="G1380" s="2">
        <f t="shared" si="42"/>
        <v>58740463</v>
      </c>
      <c r="H1380">
        <f t="shared" si="43"/>
        <v>0.39408503156824998</v>
      </c>
    </row>
    <row r="1381" spans="1:8">
      <c r="A1381" t="s">
        <v>92</v>
      </c>
      <c r="B1381">
        <v>36000</v>
      </c>
      <c r="C1381" t="s">
        <v>53</v>
      </c>
      <c r="D1381" s="2">
        <v>65107203</v>
      </c>
      <c r="E1381" s="2">
        <v>36789799</v>
      </c>
      <c r="F1381" s="2">
        <v>11149707</v>
      </c>
      <c r="G1381" s="2">
        <f t="shared" si="42"/>
        <v>47939506</v>
      </c>
      <c r="H1381">
        <f t="shared" si="43"/>
        <v>0.73631647177348414</v>
      </c>
    </row>
    <row r="1382" spans="1:8">
      <c r="A1382" t="s">
        <v>92</v>
      </c>
      <c r="B1382">
        <v>37000</v>
      </c>
      <c r="C1382" t="s">
        <v>54</v>
      </c>
      <c r="D1382" s="2">
        <v>104002452</v>
      </c>
      <c r="E1382" s="2">
        <v>21903523</v>
      </c>
      <c r="F1382" s="2">
        <v>10395571</v>
      </c>
      <c r="G1382" s="2">
        <f t="shared" si="42"/>
        <v>32299094</v>
      </c>
      <c r="H1382">
        <f t="shared" si="43"/>
        <v>0.31056088946825983</v>
      </c>
    </row>
    <row r="1383" spans="1:8">
      <c r="A1383" t="s">
        <v>92</v>
      </c>
      <c r="B1383">
        <v>38000</v>
      </c>
      <c r="C1383" t="s">
        <v>55</v>
      </c>
      <c r="D1383" s="2">
        <v>116267728</v>
      </c>
      <c r="E1383" s="2">
        <v>40717685</v>
      </c>
      <c r="F1383" s="2">
        <v>14439052</v>
      </c>
      <c r="G1383" s="2">
        <f t="shared" si="42"/>
        <v>55156737</v>
      </c>
      <c r="H1383">
        <f t="shared" si="43"/>
        <v>0.47439421023175066</v>
      </c>
    </row>
    <row r="1384" spans="1:8">
      <c r="A1384" t="s">
        <v>92</v>
      </c>
      <c r="B1384">
        <v>39000</v>
      </c>
      <c r="C1384" t="s">
        <v>56</v>
      </c>
      <c r="D1384" s="2">
        <v>53641805</v>
      </c>
      <c r="E1384" s="2">
        <v>49474080</v>
      </c>
      <c r="F1384" s="2">
        <v>13240701</v>
      </c>
      <c r="G1384" s="2">
        <f t="shared" si="42"/>
        <v>62714781</v>
      </c>
      <c r="H1384">
        <f t="shared" si="43"/>
        <v>1.1691400205492712</v>
      </c>
    </row>
    <row r="1385" spans="1:8">
      <c r="A1385" t="s">
        <v>92</v>
      </c>
      <c r="B1385">
        <v>40000</v>
      </c>
      <c r="C1385" t="s">
        <v>57</v>
      </c>
      <c r="D1385" s="2">
        <v>430508550</v>
      </c>
      <c r="E1385" s="2">
        <v>46929113</v>
      </c>
      <c r="F1385" s="2">
        <v>34225712</v>
      </c>
      <c r="G1385" s="2">
        <f t="shared" si="42"/>
        <v>81154825</v>
      </c>
      <c r="H1385">
        <f t="shared" si="43"/>
        <v>0.18850920614700917</v>
      </c>
    </row>
    <row r="1386" spans="1:8">
      <c r="A1386" t="s">
        <v>92</v>
      </c>
      <c r="B1386">
        <v>41000</v>
      </c>
      <c r="C1386" t="s">
        <v>58</v>
      </c>
      <c r="D1386" s="2">
        <v>63711579</v>
      </c>
      <c r="E1386" s="2">
        <v>39378683</v>
      </c>
      <c r="F1386" s="2">
        <v>10193684</v>
      </c>
      <c r="G1386" s="2">
        <f t="shared" si="42"/>
        <v>49572367</v>
      </c>
      <c r="H1386">
        <f t="shared" si="43"/>
        <v>0.77807468874692309</v>
      </c>
    </row>
    <row r="1387" spans="1:8">
      <c r="A1387" t="s">
        <v>92</v>
      </c>
      <c r="B1387">
        <v>42000</v>
      </c>
      <c r="C1387" t="s">
        <v>59</v>
      </c>
      <c r="D1387" s="2">
        <v>92041938</v>
      </c>
      <c r="E1387" s="2">
        <v>63918885</v>
      </c>
      <c r="F1387" s="2">
        <v>23562760</v>
      </c>
      <c r="G1387" s="2">
        <f t="shared" si="42"/>
        <v>87481645</v>
      </c>
      <c r="H1387">
        <f t="shared" si="43"/>
        <v>0.95045418317897656</v>
      </c>
    </row>
    <row r="1388" spans="1:8">
      <c r="A1388" t="s">
        <v>92</v>
      </c>
      <c r="B1388">
        <v>43000</v>
      </c>
      <c r="C1388" t="s">
        <v>60</v>
      </c>
      <c r="D1388" s="2">
        <v>121574783</v>
      </c>
      <c r="E1388" s="2">
        <v>61323005</v>
      </c>
      <c r="F1388" s="2">
        <v>18598321</v>
      </c>
      <c r="G1388" s="2">
        <f t="shared" si="42"/>
        <v>79921326</v>
      </c>
      <c r="H1388">
        <f t="shared" si="43"/>
        <v>0.65738407281384992</v>
      </c>
    </row>
    <row r="1389" spans="1:8">
      <c r="A1389" t="s">
        <v>92</v>
      </c>
      <c r="B1389">
        <v>44000</v>
      </c>
      <c r="C1389" t="s">
        <v>61</v>
      </c>
      <c r="D1389" s="2">
        <v>86028292</v>
      </c>
      <c r="E1389" s="2">
        <v>49818064</v>
      </c>
      <c r="F1389" s="2">
        <v>15599557</v>
      </c>
      <c r="G1389" s="2">
        <f t="shared" si="42"/>
        <v>65417621</v>
      </c>
      <c r="H1389">
        <f t="shared" si="43"/>
        <v>0.76041985118105104</v>
      </c>
    </row>
    <row r="1390" spans="1:8">
      <c r="A1390" t="s">
        <v>92</v>
      </c>
      <c r="B1390">
        <v>45000</v>
      </c>
      <c r="C1390" t="s">
        <v>62</v>
      </c>
      <c r="D1390" s="2">
        <v>73264060</v>
      </c>
      <c r="E1390" s="2">
        <v>47461654</v>
      </c>
      <c r="F1390" s="2">
        <v>18525144</v>
      </c>
      <c r="G1390" s="2">
        <f t="shared" si="42"/>
        <v>65986798</v>
      </c>
      <c r="H1390">
        <f t="shared" si="43"/>
        <v>0.90067077909687232</v>
      </c>
    </row>
    <row r="1391" spans="1:8">
      <c r="A1391" t="s">
        <v>92</v>
      </c>
      <c r="B1391">
        <v>46000</v>
      </c>
      <c r="C1391" t="s">
        <v>63</v>
      </c>
      <c r="D1391" s="2">
        <v>112745641</v>
      </c>
      <c r="E1391" s="2">
        <v>89898921</v>
      </c>
      <c r="F1391" s="2">
        <v>29744617</v>
      </c>
      <c r="G1391" s="2">
        <f t="shared" si="42"/>
        <v>119643538</v>
      </c>
      <c r="H1391">
        <f t="shared" si="43"/>
        <v>1.0611810526670384</v>
      </c>
    </row>
    <row r="1392" spans="1:8">
      <c r="A1392" t="s">
        <v>92</v>
      </c>
      <c r="B1392">
        <v>47000</v>
      </c>
      <c r="C1392" t="s">
        <v>64</v>
      </c>
      <c r="D1392" s="2">
        <v>65522107</v>
      </c>
      <c r="E1392" s="2">
        <v>76517885</v>
      </c>
      <c r="F1392" s="2">
        <v>20701307</v>
      </c>
      <c r="G1392" s="2">
        <f t="shared" si="42"/>
        <v>97219192</v>
      </c>
      <c r="H1392">
        <f t="shared" si="43"/>
        <v>1.4837616867235359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aid-tax-ratio(1989-2017)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 IHA</cp:lastModifiedBy>
  <dcterms:created xsi:type="dcterms:W3CDTF">2025-12-14T01:16:43Z</dcterms:created>
  <dcterms:modified xsi:type="dcterms:W3CDTF">2025-12-14T01:33:07Z</dcterms:modified>
</cp:coreProperties>
</file>